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ancials" sheetId="1" state="visible" r:id="rId3"/>
    <sheet name="Assumptions" sheetId="2" state="visible" r:id="rId4"/>
    <sheet name="WACC" sheetId="3" state="visible" r:id="rId5"/>
    <sheet name="DC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<sst xmlns="http://schemas.openxmlformats.org/spreadsheetml/2006/main" count="207" uniqueCount="152">
  <si>
    <t xml:space="preserve">Adani Enterprises Ltd: Income Statement</t>
  </si>
  <si>
    <t xml:space="preserve">Actuals from Screener.in Data Sheet (uploaded file). Forecast driven by Assumptions.</t>
  </si>
  <si>
    <t xml:space="preserve">₹ Crore, FYE 31 March</t>
  </si>
  <si>
    <t xml:space="preserve">FY17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</si>
  <si>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</si>
  <si>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</si>
  <si>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</si>
  <si>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</si>
  <si>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</si>
  <si>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</si>
  <si>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</si>
  <si>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</si>
  <si>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</si>
  <si>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</si>
  <si>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</si>
  <si>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</si>
  <si>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</si>
  <si>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</si>
  <si>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Sales</t>
  </si>
  <si>
    <t xml:space="preserve">  Sales growth %</t>
  </si>
  <si>
    <t xml:space="preserve">Raw material cost</t>
  </si>
  <si>
    <t xml:space="preserve">Change in inventory (subtracted)</t>
  </si>
  <si>
    <t xml:space="preserve">Power &amp; fuel</t>
  </si>
  <si>
    <t xml:space="preserve">Other manufacturing expenses</t>
  </si>
  <si>
    <t xml:space="preserve">Employee cost</t>
  </si>
  <si>
    <t xml:space="preserve">Selling &amp; administration</t>
  </si>
  <si>
    <t xml:space="preserve">Other expenses</t>
  </si>
  <si>
    <t xml:space="preserve">Total operating expenses</t>
  </si>
  <si>
    <t xml:space="preserve">Operating profit (EBITDA)</t>
  </si>
  <si>
    <t xml:space="preserve">  EBITDA margin %</t>
  </si>
  <si>
    <t xml:space="preserve">Other income</t>
  </si>
  <si>
    <t xml:space="preserve">Depreciation</t>
  </si>
  <si>
    <t xml:space="preserve">EBIT (after depreciation)</t>
  </si>
  <si>
    <t xml:space="preserve">Interest</t>
  </si>
  <si>
    <t xml:space="preserve">Profit before tax</t>
  </si>
  <si>
    <t xml:space="preserve">Tax</t>
  </si>
  <si>
    <t xml:space="preserve">  Effective tax rate %</t>
  </si>
  <si>
    <t xml:space="preserve">Profit after tax (consolidated)</t>
  </si>
  <si>
    <t xml:space="preserve">Minority interest &amp; other (actuals derived)</t>
  </si>
  <si>
    <t xml:space="preserve">Net profit attributable to shareholders</t>
  </si>
  <si>
    <t xml:space="preserve">Dividends</t>
  </si>
  <si>
    <t xml:space="preserve">Shares outstanding (Cr, adjusted)</t>
  </si>
  <si>
    <t xml:space="preserve">EPS (₹)</t>
  </si>
  <si>
    <t xml:space="preserve">BALANCE SHEET</t>
  </si>
  <si>
    <t xml:space="preserve">Equity share capital</t>
  </si>
  <si>
    <t xml:space="preserve">Reserves</t>
  </si>
  <si>
    <t xml:space="preserve">Net worth (shareholders' equity)</t>
  </si>
  <si>
    <t xml:space="preserve">Minority interest (forecast accrual)</t>
  </si>
  <si>
    <t xml:space="preserve">Borrowings</t>
  </si>
  <si>
    <t xml:space="preserve">Other liabilities</t>
  </si>
  <si>
    <t xml:space="preserve">Total liabilities &amp; equity</t>
  </si>
  <si>
    <t xml:space="preserve">Net block (fixed assets)</t>
  </si>
  <si>
    <t xml:space="preserve">Capital work in progress</t>
  </si>
  <si>
    <t xml:space="preserve">Investments</t>
  </si>
  <si>
    <t xml:space="preserve">Receivables</t>
  </si>
  <si>
    <t xml:space="preserve">Inventory</t>
  </si>
  <si>
    <t xml:space="preserve">Cash &amp; bank</t>
  </si>
  <si>
    <t xml:space="preserve">Other assets (residual)</t>
  </si>
  <si>
    <t xml:space="preserve">Total assets</t>
  </si>
  <si>
    <t xml:space="preserve">Balance check (must be 0)</t>
  </si>
  <si>
    <t xml:space="preserve">Net debt (borrowings less cash)</t>
  </si>
  <si>
    <t xml:space="preserve">Net debt / EBITDA (x)</t>
  </si>
  <si>
    <t xml:space="preserve">CASH FLOW STATEMENT</t>
  </si>
  <si>
    <t xml:space="preserve">Add: depreciation</t>
  </si>
  <si>
    <t xml:space="preserve">(Increase) / decrease in receivables</t>
  </si>
  <si>
    <t xml:space="preserve">(Increase) / decrease in inventory</t>
  </si>
  <si>
    <t xml:space="preserve">(Increase) / decrease in other assets</t>
  </si>
  <si>
    <t xml:space="preserve">Increase / (decrease) in other liabilities</t>
  </si>
  <si>
    <t xml:space="preserve">Cash from operating activities (CFO)</t>
  </si>
  <si>
    <t xml:space="preserve">Capital expenditure</t>
  </si>
  <si>
    <t xml:space="preserve">(Increase) / decrease in CWIP &amp; investments</t>
  </si>
  <si>
    <t xml:space="preserve">Cash from investing activities (CFI)</t>
  </si>
  <si>
    <t xml:space="preserve">Net borrowing / (repayment)</t>
  </si>
  <si>
    <t xml:space="preserve">Dividends paid</t>
  </si>
  <si>
    <t xml:space="preserve">Cash from financing activities (CFF)</t>
  </si>
  <si>
    <t xml:space="preserve">Net cash flow</t>
  </si>
  <si>
    <t xml:space="preserve">Opening cash</t>
  </si>
  <si>
    <t xml:space="preserve">Closing cash</t>
  </si>
  <si>
    <t xml:space="preserve">Free cash flow (CFO + capex)</t>
  </si>
  <si>
    <t xml:space="preserve">Adani Enterprises Ltd: Forecast Assumptions</t>
  </si>
  <si>
    <t xml:space="preserve">Blue = input (edit these). Black = formula. FY26 actual ratio shown in column K for reference.</t>
  </si>
  <si>
    <t xml:space="preserve">Sales growth %</t>
  </si>
  <si>
    <t xml:space="preserve">Raw material cost % sales</t>
  </si>
  <si>
    <t xml:space="preserve">Power &amp; fuel % sales</t>
  </si>
  <si>
    <t xml:space="preserve">Other manufacturing exp % sales</t>
  </si>
  <si>
    <t xml:space="preserve">Employee cost % sales</t>
  </si>
  <si>
    <t xml:space="preserve">Selling &amp; admin % sales</t>
  </si>
  <si>
    <t xml:space="preserve">Other expenses % sales</t>
  </si>
  <si>
    <t xml:space="preserve">Other income % sales</t>
  </si>
  <si>
    <t xml:space="preserve">Depreciation % opening net block</t>
  </si>
  <si>
    <t xml:space="preserve">Interest rate on opening borrowings</t>
  </si>
  <si>
    <t xml:space="preserve">Effective tax rate</t>
  </si>
  <si>
    <t xml:space="preserve">Minority interest &amp; other % of PAT</t>
  </si>
  <si>
    <t xml:space="preserve">Dividend payout % of attributable NP</t>
  </si>
  <si>
    <t xml:space="preserve">Capex % sales</t>
  </si>
  <si>
    <t xml:space="preserve">Net borrowing / (repayment) ₹ Cr</t>
  </si>
  <si>
    <t xml:space="preserve">Receivables % sales</t>
  </si>
  <si>
    <t xml:space="preserve">Inventory % sales</t>
  </si>
  <si>
    <t xml:space="preserve">Other assets (residual) % sales</t>
  </si>
  <si>
    <t xml:space="preserve">Other liabilities % sales</t>
  </si>
  <si>
    <t xml:space="preserve">Model notes</t>
  </si>
  <si>
    <t xml:space="preserve">• Interest is charged on opening borrowings and depreciation on opening net block, so the model has no circular references.</t>
  </si>
  <si>
    <t xml:space="preserve">• CWIP and Investments are held flat. Capex is set as a % of sales and added to net block.</t>
  </si>
  <si>
    <t xml:space="preserve">• Cash is the balancing item through the cash flow statement. The balance check on BS must be zero in every year.</t>
  </si>
  <si>
    <t xml:space="preserve">• Other liabilities is the largest working-capital line; holding it at a % of sales drives much of the forecast cash build.</t>
  </si>
  <si>
    <t xml:space="preserve">Adani Enterprises Ltd: Weighted Average Cost of Capital (WACC)</t>
  </si>
  <si>
    <t xml:space="preserve">Inputs in blue. Feeds the DCF tab.</t>
  </si>
  <si>
    <t xml:space="preserve">Discount rate (WACC)</t>
  </si>
  <si>
    <t xml:space="preserve">Risk-free rate (10Y G-sec)</t>
  </si>
  <si>
    <t xml:space="preserve">Equity risk premium</t>
  </si>
  <si>
    <t xml:space="preserve">Levered beta</t>
  </si>
  <si>
    <t xml:space="preserve">Cost of equity (CAPM)</t>
  </si>
  <si>
    <t xml:space="preserve">Pre-tax cost of debt</t>
  </si>
  <si>
    <t xml:space="preserve">Tax rate</t>
  </si>
  <si>
    <t xml:space="preserve">After-tax cost of debt</t>
  </si>
  <si>
    <t xml:space="preserve">Market value of equity</t>
  </si>
  <si>
    <t xml:space="preserve">Debt (FY26 borrowings)</t>
  </si>
  <si>
    <t xml:space="preserve">Equity weight</t>
  </si>
  <si>
    <t xml:space="preserve">Debt weight</t>
  </si>
  <si>
    <t xml:space="preserve">WACC</t>
  </si>
  <si>
    <t xml:space="preserve">Terminal growth rate</t>
  </si>
  <si>
    <t xml:space="preserve">Return on new invested capital (terminal)</t>
  </si>
  <si>
    <t xml:space="preserve">Adani Enterprises Ltd: Discounted Cash Flow Valuation</t>
  </si>
  <si>
    <t xml:space="preserve">₹ Crore unless stated. Valuation date 31-Mar-2026. Forecast from IS / BS / CF tabs. Blue = input.</t>
  </si>
  <si>
    <t xml:space="preserve">WACC, terminal growth and RONIC are on the WACC tab</t>
  </si>
  <si>
    <t xml:space="preserve">Unlevered free cash flow</t>
  </si>
  <si>
    <t xml:space="preserve">EBITDA</t>
  </si>
  <si>
    <t xml:space="preserve">Add back: depreciation</t>
  </si>
  <si>
    <t xml:space="preserve">EBIT</t>
  </si>
  <si>
    <t xml:space="preserve">Less: taxes on EBIT</t>
  </si>
  <si>
    <t xml:space="preserve">NOPAT</t>
  </si>
  <si>
    <t xml:space="preserve">Less: capital expenditure</t>
  </si>
  <si>
    <t xml:space="preserve">Less: increase in working capital</t>
  </si>
  <si>
    <t xml:space="preserve">Discount period (years)</t>
  </si>
  <si>
    <t xml:space="preserve">Discount factor</t>
  </si>
  <si>
    <t xml:space="preserve">PV of free cash flow</t>
  </si>
  <si>
    <t xml:space="preserve">Valuation</t>
  </si>
  <si>
    <t xml:space="preserve">Sum of PV of free cash flows</t>
  </si>
  <si>
    <t xml:space="preserve">Terminal value (normalised reinvestment, FY31E)</t>
  </si>
  <si>
    <t xml:space="preserve">PV of terminal value</t>
  </si>
  <si>
    <t xml:space="preserve">Enterprise value</t>
  </si>
  <si>
    <t xml:space="preserve">Less: borrowings (FY26)</t>
  </si>
  <si>
    <t xml:space="preserve">Add: cash &amp; bank (FY26)</t>
  </si>
  <si>
    <t xml:space="preserve">Equity value</t>
  </si>
  <si>
    <t xml:space="preserve">Shares outstanding (Cr)</t>
  </si>
  <si>
    <t xml:space="preserve">Implied value per share (₹)</t>
  </si>
  <si>
    <t xml:space="preserve">Current market price (₹)</t>
  </si>
  <si>
    <t xml:space="preserve">Upside / (downside)</t>
  </si>
  <si>
    <t xml:space="preserve">Terminal value as % of EV</t>
  </si>
  <si>
    <t xml:space="preserve">Implied terminal EV / EBITDA (x)</t>
  </si>
  <si>
    <t xml:space="preserve">Equity value excludes minority interests (not separately reported in the source data). Shares = FY26 adjusted shares.</t>
  </si>
  <si>
    <t xml:space="preserve">Sensitivity: implied value per share (₹), WACC (down) vs terminal growth (across)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</si>
</sst>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\x;\(0.00&quot;x)&quot;"/>
    <numFmt numFmtId="169" formatCode="0.00"/>
    <numFmt numFmtId="170" formatCode="0"/>
    <numFmt numFmtId="171" formatCode="0.000"/>
    <numFmt numFmtId="172" formatCode="#,##0.00;\(#,##0.00\);\-"/>
    <numFmt numFmtId="173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6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5" hidden="false" customHeight="false" outlineLevel="0" collapsed="false">
      <c r="A5" s="5" t="s">
        <v>18</v>
      </c>
      <c r="B5" s="6" t="n">
        <v>36532.86</v>
      </c>
      <c r="C5" s="6" t="n">
        <v>35923.92</v>
      </c>
      <c r="D5" s="6" t="n">
        <v>40378.66</v>
      </c>
      <c r="E5" s="6" t="n">
        <v>43402.56</v>
      </c>
      <c r="F5" s="6" t="n">
        <v>39537.13</v>
      </c>
      <c r="G5" s="6" t="n">
        <v>69420.18</v>
      </c>
      <c r="H5" s="6" t="n">
        <v>127539.5</v>
      </c>
      <c r="I5" s="6" t="n">
        <v>96420.98</v>
      </c>
      <c r="J5" s="6" t="n">
        <v>97894.75</v>
      </c>
      <c r="K5" s="6" t="n">
        <v>100468.61</v>
      </c>
      <c r="L5" s="7" t="n">
        <f aca="false">Financials!K5*(1+Assumptions!L5)</f>
        <v>105492.0405</v>
      </c>
      <c r="M5" s="7" t="n">
        <f aca="false">Financials!L5*(1+Assumptions!M5)</f>
        <v>111821.56293</v>
      </c>
      <c r="N5" s="7" t="n">
        <f aca="false">Financials!M5*(1+Assumptions!N5)</f>
        <v>119649.0723351</v>
      </c>
      <c r="O5" s="7" t="n">
        <f aca="false">Financials!N5*(1+Assumptions!O5)</f>
        <v>128024.507398557</v>
      </c>
      <c r="P5" s="7" t="n">
        <f aca="false">Financials!O5*(1+Assumptions!P5)</f>
        <v>136986.222916456</v>
      </c>
    </row>
    <row r="6" customFormat="false" ht="15" hidden="false" customHeight="false" outlineLevel="0" collapsed="false">
      <c r="A6" s="8" t="s">
        <v>19</v>
      </c>
      <c r="B6" s="9"/>
      <c r="C6" s="9" t="n">
        <f aca="false">Financials!C5/Financials!B5-1</f>
        <v>-0.0166682816510945</v>
      </c>
      <c r="D6" s="9" t="n">
        <f aca="false">Financials!D5/Financials!C5-1</f>
        <v>0.124004841342482</v>
      </c>
      <c r="E6" s="9" t="n">
        <f aca="false">Financials!E5/Financials!D5-1</f>
        <v>0.0748885673769262</v>
      </c>
      <c r="F6" s="9" t="n">
        <f aca="false">Financials!F5/Financials!E5-1</f>
        <v>-0.0890599540672256</v>
      </c>
      <c r="G6" s="9" t="n">
        <f aca="false">Financials!G5/Financials!F5-1</f>
        <v>0.755822438300403</v>
      </c>
      <c r="H6" s="9" t="n">
        <f aca="false">Financials!H5/Financials!G5-1</f>
        <v>0.837210736128889</v>
      </c>
      <c r="I6" s="9" t="n">
        <f aca="false">Financials!I5/Financials!H5-1</f>
        <v>-0.243991234088263</v>
      </c>
      <c r="J6" s="9" t="n">
        <f aca="false">Financials!J5/Financials!I5-1</f>
        <v>0.0152847440463684</v>
      </c>
      <c r="K6" s="9" t="n">
        <f aca="false">Financials!K5/Financials!J5-1</f>
        <v>0.0262921147456836</v>
      </c>
      <c r="L6" s="10" t="n">
        <f aca="false">Financials!L5/Financials!K5-1</f>
        <v>0.05</v>
      </c>
      <c r="M6" s="10" t="n">
        <f aca="false">Financials!M5/Financials!L5-1</f>
        <v>0.0600000000000001</v>
      </c>
      <c r="N6" s="10" t="n">
        <f aca="false">Financials!N5/Financials!M5-1</f>
        <v>0.0700000000000001</v>
      </c>
      <c r="O6" s="10" t="n">
        <f aca="false">Financials!O5/Financials!N5-1</f>
        <v>0.0700000000000001</v>
      </c>
      <c r="P6" s="10" t="n">
        <f aca="false">Financials!P5/Financials!O5-1</f>
        <v>0.0700000000000001</v>
      </c>
    </row>
    <row r="7" customFormat="false" ht="15" hidden="false" customHeight="false" outlineLevel="0" collapsed="false">
      <c r="A7" s="8" t="s">
        <v>20</v>
      </c>
      <c r="B7" s="11" t="n">
        <v>30945.16</v>
      </c>
      <c r="C7" s="11" t="n">
        <v>30771.08</v>
      </c>
      <c r="D7" s="11" t="n">
        <v>33821.4</v>
      </c>
      <c r="E7" s="11" t="n">
        <v>34350.2</v>
      </c>
      <c r="F7" s="11" t="n">
        <v>29791.08</v>
      </c>
      <c r="G7" s="11" t="n">
        <v>57651.32</v>
      </c>
      <c r="H7" s="11" t="n">
        <v>93814.06</v>
      </c>
      <c r="I7" s="11" t="n">
        <v>51507.72</v>
      </c>
      <c r="J7" s="11" t="n">
        <v>49524.73</v>
      </c>
      <c r="K7" s="11" t="n">
        <v>56933.41</v>
      </c>
      <c r="L7" s="12" t="n">
        <f aca="false">Financials!L5*Assumptions!L6</f>
        <v>56860.2098295</v>
      </c>
      <c r="M7" s="12" t="n">
        <f aca="false">Financials!M5*Assumptions!M6</f>
        <v>60271.82241927</v>
      </c>
      <c r="N7" s="12" t="n">
        <f aca="false">Financials!N5*Assumptions!N6</f>
        <v>64490.8499886189</v>
      </c>
      <c r="O7" s="12" t="n">
        <f aca="false">Financials!O5*Assumptions!O6</f>
        <v>69005.2094878222</v>
      </c>
      <c r="P7" s="12" t="n">
        <f aca="false">Financials!P5*Assumptions!P6</f>
        <v>73835.5741519698</v>
      </c>
    </row>
    <row r="8" customFormat="false" ht="15" hidden="false" customHeight="false" outlineLevel="0" collapsed="false">
      <c r="A8" s="8" t="s">
        <v>21</v>
      </c>
      <c r="B8" s="11" t="n">
        <v>-36.38</v>
      </c>
      <c r="C8" s="11" t="n">
        <v>772.74</v>
      </c>
      <c r="D8" s="11" t="n">
        <v>499.99</v>
      </c>
      <c r="E8" s="11" t="n">
        <v>-310.13</v>
      </c>
      <c r="F8" s="11" t="n">
        <v>-456.74</v>
      </c>
      <c r="G8" s="11" t="n">
        <v>3933.82</v>
      </c>
      <c r="H8" s="11" t="n">
        <v>327.16</v>
      </c>
      <c r="I8" s="11" t="n">
        <v>1116.49</v>
      </c>
      <c r="J8" s="11" t="n">
        <v>-1844.54</v>
      </c>
      <c r="K8" s="11" t="n">
        <v>2824.59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</row>
    <row r="9" customFormat="false" ht="15" hidden="false" customHeight="false" outlineLevel="0" collapsed="false">
      <c r="A9" s="8" t="s">
        <v>22</v>
      </c>
      <c r="B9" s="11" t="n">
        <v>7.42</v>
      </c>
      <c r="C9" s="11" t="n">
        <v>2.91</v>
      </c>
      <c r="D9" s="11" t="n">
        <v>5.74</v>
      </c>
      <c r="E9" s="11" t="n">
        <v>12.22</v>
      </c>
      <c r="F9" s="11" t="n">
        <v>13.4</v>
      </c>
      <c r="G9" s="11" t="n">
        <v>58.98</v>
      </c>
      <c r="H9" s="11" t="n">
        <v>18.42</v>
      </c>
      <c r="I9" s="11" t="n">
        <v>26.46</v>
      </c>
      <c r="J9" s="11" t="n">
        <v>2037.48</v>
      </c>
      <c r="K9" s="11" t="n">
        <v>2142.7</v>
      </c>
      <c r="L9" s="12" t="n">
        <f aca="false">Financials!L5*Assumptions!L7</f>
        <v>2215.3328505</v>
      </c>
      <c r="M9" s="12" t="n">
        <f aca="false">Financials!M5*Assumptions!M7</f>
        <v>2348.25282153</v>
      </c>
      <c r="N9" s="12" t="n">
        <f aca="false">Financials!N5*Assumptions!N7</f>
        <v>2512.6305190371</v>
      </c>
      <c r="O9" s="12" t="n">
        <f aca="false">Financials!O5*Assumptions!O7</f>
        <v>2688.5146553697</v>
      </c>
      <c r="P9" s="12" t="n">
        <f aca="false">Financials!P5*Assumptions!P7</f>
        <v>2876.71068124558</v>
      </c>
    </row>
    <row r="10" customFormat="false" ht="15" hidden="false" customHeight="false" outlineLevel="0" collapsed="false">
      <c r="A10" s="8" t="s">
        <v>23</v>
      </c>
      <c r="B10" s="11" t="n">
        <v>1910.37</v>
      </c>
      <c r="C10" s="11" t="n">
        <v>2204.89</v>
      </c>
      <c r="D10" s="11" t="n">
        <v>2551.28</v>
      </c>
      <c r="E10" s="11" t="n">
        <v>3115.25</v>
      </c>
      <c r="F10" s="11" t="n">
        <v>4357.88</v>
      </c>
      <c r="G10" s="11" t="n">
        <v>7793.57</v>
      </c>
      <c r="H10" s="11" t="n">
        <v>14377.83</v>
      </c>
      <c r="I10" s="11" t="n">
        <v>22793.04</v>
      </c>
      <c r="J10" s="11" t="n">
        <v>16964.51</v>
      </c>
      <c r="K10" s="11" t="n">
        <v>15610.12</v>
      </c>
      <c r="L10" s="12" t="n">
        <f aca="false">Financials!L5*Assumptions!L8</f>
        <v>16456.758318</v>
      </c>
      <c r="M10" s="12" t="n">
        <f aca="false">Financials!M5*Assumptions!M8</f>
        <v>17444.16381708</v>
      </c>
      <c r="N10" s="12" t="n">
        <f aca="false">Financials!N5*Assumptions!N8</f>
        <v>18665.2552842756</v>
      </c>
      <c r="O10" s="12" t="n">
        <f aca="false">Financials!O5*Assumptions!O8</f>
        <v>19971.8231541749</v>
      </c>
      <c r="P10" s="12" t="n">
        <f aca="false">Financials!P5*Assumptions!P8</f>
        <v>21369.8507749671</v>
      </c>
    </row>
    <row r="11" customFormat="false" ht="15" hidden="false" customHeight="false" outlineLevel="0" collapsed="false">
      <c r="A11" s="8" t="s">
        <v>24</v>
      </c>
      <c r="B11" s="11" t="n">
        <v>511.48</v>
      </c>
      <c r="C11" s="11" t="n">
        <v>568.97</v>
      </c>
      <c r="D11" s="11" t="n">
        <v>657.18</v>
      </c>
      <c r="E11" s="11" t="n">
        <v>683.28</v>
      </c>
      <c r="F11" s="11" t="n">
        <v>830.36</v>
      </c>
      <c r="G11" s="11" t="n">
        <v>1182.1</v>
      </c>
      <c r="H11" s="11" t="n">
        <v>1879.07</v>
      </c>
      <c r="I11" s="11" t="n">
        <v>2332.96</v>
      </c>
      <c r="J11" s="11" t="n">
        <v>3121.84</v>
      </c>
      <c r="K11" s="11" t="n">
        <v>3661.56</v>
      </c>
      <c r="L11" s="12" t="n">
        <f aca="false">Financials!L5*Assumptions!L9</f>
        <v>3797.713458</v>
      </c>
      <c r="M11" s="12" t="n">
        <f aca="false">Financials!M5*Assumptions!M9</f>
        <v>4025.57626548</v>
      </c>
      <c r="N11" s="12" t="n">
        <f aca="false">Financials!N5*Assumptions!N9</f>
        <v>4307.3666040636</v>
      </c>
      <c r="O11" s="12" t="n">
        <f aca="false">Financials!O5*Assumptions!O9</f>
        <v>4608.88226634805</v>
      </c>
      <c r="P11" s="12" t="n">
        <f aca="false">Financials!P5*Assumptions!P9</f>
        <v>4931.50402499242</v>
      </c>
    </row>
    <row r="12" customFormat="false" ht="15" hidden="false" customHeight="false" outlineLevel="0" collapsed="false">
      <c r="A12" s="8" t="s">
        <v>25</v>
      </c>
      <c r="B12" s="11" t="n">
        <v>1004.69</v>
      </c>
      <c r="C12" s="11" t="n">
        <v>928.28</v>
      </c>
      <c r="D12" s="11" t="n">
        <v>1230.62</v>
      </c>
      <c r="E12" s="11" t="n">
        <v>1954.57</v>
      </c>
      <c r="F12" s="11" t="n">
        <v>1306.48</v>
      </c>
      <c r="G12" s="11" t="n">
        <v>2412.38</v>
      </c>
      <c r="H12" s="11" t="n">
        <v>8135.29</v>
      </c>
      <c r="I12" s="11" t="n">
        <v>8272.86</v>
      </c>
      <c r="J12" s="11" t="n">
        <v>9245.98</v>
      </c>
      <c r="K12" s="11" t="n">
        <v>9817.24</v>
      </c>
      <c r="L12" s="12" t="n">
        <f aca="false">Financials!L5*Assumptions!L10</f>
        <v>10338.219969</v>
      </c>
      <c r="M12" s="12" t="n">
        <f aca="false">Financials!M5*Assumptions!M10</f>
        <v>10958.51316714</v>
      </c>
      <c r="N12" s="12" t="n">
        <f aca="false">Financials!N5*Assumptions!N10</f>
        <v>11725.6090888398</v>
      </c>
      <c r="O12" s="12" t="n">
        <f aca="false">Financials!O5*Assumptions!O10</f>
        <v>12546.4017250586</v>
      </c>
      <c r="P12" s="12" t="n">
        <f aca="false">Financials!P5*Assumptions!P10</f>
        <v>13424.6498458127</v>
      </c>
    </row>
    <row r="13" customFormat="false" ht="15" hidden="false" customHeight="false" outlineLevel="0" collapsed="false">
      <c r="A13" s="8" t="s">
        <v>26</v>
      </c>
      <c r="B13" s="11" t="n">
        <v>215.13</v>
      </c>
      <c r="C13" s="11" t="n">
        <v>182.82</v>
      </c>
      <c r="D13" s="11" t="n">
        <v>643.09</v>
      </c>
      <c r="E13" s="11" t="n">
        <v>682.52</v>
      </c>
      <c r="F13" s="11" t="n">
        <v>275.54</v>
      </c>
      <c r="G13" s="11" t="n">
        <v>542.05</v>
      </c>
      <c r="H13" s="11" t="n">
        <v>824.3</v>
      </c>
      <c r="I13" s="11" t="n">
        <v>1227.83</v>
      </c>
      <c r="J13" s="11" t="n">
        <v>903.64</v>
      </c>
      <c r="K13" s="11" t="n">
        <v>1137.39</v>
      </c>
      <c r="L13" s="12" t="n">
        <f aca="false">Financials!L5*Assumptions!L11</f>
        <v>1160.4124455</v>
      </c>
      <c r="M13" s="12" t="n">
        <f aca="false">Financials!M5*Assumptions!M11</f>
        <v>1230.03719223</v>
      </c>
      <c r="N13" s="12" t="n">
        <f aca="false">Financials!N5*Assumptions!N11</f>
        <v>1316.1397956861</v>
      </c>
      <c r="O13" s="12" t="n">
        <f aca="false">Financials!O5*Assumptions!O11</f>
        <v>1408.26958138413</v>
      </c>
      <c r="P13" s="12" t="n">
        <f aca="false">Financials!P5*Assumptions!P11</f>
        <v>1506.84845208102</v>
      </c>
    </row>
    <row r="14" customFormat="false" ht="15" hidden="false" customHeight="false" outlineLevel="0" collapsed="false">
      <c r="A14" s="8" t="s">
        <v>27</v>
      </c>
      <c r="B14" s="14" t="n">
        <f aca="false">Financials!B7+Financials!B9+Financials!B10+Financials!B11+Financials!B12+Financials!B13-Financials!B8</f>
        <v>34630.63</v>
      </c>
      <c r="C14" s="14" t="n">
        <f aca="false">Financials!C7+Financials!C9+Financials!C10+Financials!C11+Financials!C12+Financials!C13-Financials!C8</f>
        <v>33886.21</v>
      </c>
      <c r="D14" s="14" t="n">
        <f aca="false">Financials!D7+Financials!D9+Financials!D10+Financials!D11+Financials!D12+Financials!D13-Financials!D8</f>
        <v>38409.32</v>
      </c>
      <c r="E14" s="14" t="n">
        <f aca="false">Financials!E7+Financials!E9+Financials!E10+Financials!E11+Financials!E12+Financials!E13-Financials!E8</f>
        <v>41108.17</v>
      </c>
      <c r="F14" s="14" t="n">
        <f aca="false">Financials!F7+Financials!F9+Financials!F10+Financials!F11+Financials!F12+Financials!F13-Financials!F8</f>
        <v>37031.48</v>
      </c>
      <c r="G14" s="14" t="n">
        <f aca="false">Financials!G7+Financials!G9+Financials!G10+Financials!G11+Financials!G12+Financials!G13-Financials!G8</f>
        <v>65706.58</v>
      </c>
      <c r="H14" s="14" t="n">
        <f aca="false">Financials!H7+Financials!H9+Financials!H10+Financials!H11+Financials!H12+Financials!H13-Financials!H8</f>
        <v>118721.81</v>
      </c>
      <c r="I14" s="14" t="n">
        <f aca="false">Financials!I7+Financials!I9+Financials!I10+Financials!I11+Financials!I12+Financials!I13-Financials!I8</f>
        <v>85044.38</v>
      </c>
      <c r="J14" s="14" t="n">
        <f aca="false">Financials!J7+Financials!J9+Financials!J10+Financials!J11+Financials!J12+Financials!J13-Financials!J8</f>
        <v>83642.72</v>
      </c>
      <c r="K14" s="14" t="n">
        <f aca="false">Financials!K7+Financials!K9+Financials!K10+Financials!K11+Financials!K12+Financials!K13-Financials!K8</f>
        <v>86477.83</v>
      </c>
      <c r="L14" s="12" t="n">
        <f aca="false">Financials!L7+Financials!L9+Financials!L10+Financials!L11+Financials!L12+Financials!L13-Financials!L8</f>
        <v>90828.6468705</v>
      </c>
      <c r="M14" s="12" t="n">
        <f aca="false">Financials!M7+Financials!M9+Financials!M10+Financials!M11+Financials!M12+Financials!M13-Financials!M8</f>
        <v>96278.36568273</v>
      </c>
      <c r="N14" s="12" t="n">
        <f aca="false">Financials!N7+Financials!N9+Financials!N10+Financials!N11+Financials!N12+Financials!N13-Financials!N8</f>
        <v>103017.851280521</v>
      </c>
      <c r="O14" s="12" t="n">
        <f aca="false">Financials!O7+Financials!O9+Financials!O10+Financials!O11+Financials!O12+Financials!O13-Financials!O8</f>
        <v>110229.100870158</v>
      </c>
      <c r="P14" s="12" t="n">
        <f aca="false">Financials!P7+Financials!P9+Financials!P10+Financials!P11+Financials!P12+Financials!P13-Financials!P8</f>
        <v>117945.137931069</v>
      </c>
    </row>
    <row r="15" customFormat="false" ht="15" hidden="false" customHeight="false" outlineLevel="0" collapsed="false">
      <c r="A15" s="5" t="s">
        <v>28</v>
      </c>
      <c r="B15" s="15" t="n">
        <f aca="false">Financials!B5-Financials!B14</f>
        <v>1902.23</v>
      </c>
      <c r="C15" s="15" t="n">
        <f aca="false">Financials!C5-Financials!C14</f>
        <v>2037.70999999999</v>
      </c>
      <c r="D15" s="15" t="n">
        <f aca="false">Financials!D5-Financials!D14</f>
        <v>1969.34</v>
      </c>
      <c r="E15" s="15" t="n">
        <f aca="false">Financials!E5-Financials!E14</f>
        <v>2294.39000000001</v>
      </c>
      <c r="F15" s="15" t="n">
        <f aca="false">Financials!F5-Financials!F14</f>
        <v>2505.64999999999</v>
      </c>
      <c r="G15" s="15" t="n">
        <f aca="false">Financials!G5-Financials!G14</f>
        <v>3713.59999999999</v>
      </c>
      <c r="H15" s="15" t="n">
        <f aca="false">Financials!H5-Financials!H14</f>
        <v>8817.69</v>
      </c>
      <c r="I15" s="15" t="n">
        <f aca="false">Financials!I5-Financials!I14</f>
        <v>11376.6</v>
      </c>
      <c r="J15" s="15" t="n">
        <f aca="false">Financials!J5-Financials!J14</f>
        <v>14252.03</v>
      </c>
      <c r="K15" s="15" t="n">
        <f aca="false">Financials!K5-Financials!K14</f>
        <v>13990.78</v>
      </c>
      <c r="L15" s="16" t="n">
        <f aca="false">Financials!L5-Financials!L14</f>
        <v>14663.3936295</v>
      </c>
      <c r="M15" s="16" t="n">
        <f aca="false">Financials!M5-Financials!M14</f>
        <v>15543.19724727</v>
      </c>
      <c r="N15" s="16" t="n">
        <f aca="false">Financials!N5-Financials!N14</f>
        <v>16631.2210545789</v>
      </c>
      <c r="O15" s="16" t="n">
        <f aca="false">Financials!O5-Financials!O14</f>
        <v>17795.4065283994</v>
      </c>
      <c r="P15" s="16" t="n">
        <f aca="false">Financials!P5-Financials!P14</f>
        <v>19041.0849853874</v>
      </c>
    </row>
    <row r="16" customFormat="false" ht="15" hidden="false" customHeight="false" outlineLevel="0" collapsed="false">
      <c r="A16" s="8" t="s">
        <v>29</v>
      </c>
      <c r="B16" s="9" t="n">
        <f aca="false">Financials!B15/Financials!B5</f>
        <v>0.0520690140328461</v>
      </c>
      <c r="C16" s="9" t="n">
        <f aca="false">Financials!C15/Financials!C5</f>
        <v>0.0567229300143189</v>
      </c>
      <c r="D16" s="9" t="n">
        <f aca="false">Financials!D15/Financials!D5</f>
        <v>0.0487718017388394</v>
      </c>
      <c r="E16" s="9" t="n">
        <f aca="false">Financials!E15/Financials!E5</f>
        <v>0.0528630108454434</v>
      </c>
      <c r="F16" s="9" t="n">
        <f aca="false">Financials!F15/Financials!F5</f>
        <v>0.0633746050864085</v>
      </c>
      <c r="G16" s="9" t="n">
        <f aca="false">Financials!G15/Financials!G5</f>
        <v>0.0534945314172333</v>
      </c>
      <c r="H16" s="9" t="n">
        <f aca="false">Financials!H15/Financials!H5</f>
        <v>0.0691369340478832</v>
      </c>
      <c r="I16" s="9" t="n">
        <f aca="false">Financials!I15/Financials!I5</f>
        <v>0.117988844336575</v>
      </c>
      <c r="J16" s="9" t="n">
        <f aca="false">Financials!J15/Financials!J5</f>
        <v>0.145585233120265</v>
      </c>
      <c r="K16" s="9" t="n">
        <f aca="false">Financials!K15/Financials!K5</f>
        <v>0.1392552360384</v>
      </c>
      <c r="L16" s="10" t="n">
        <f aca="false">Financials!L15/Financials!L5</f>
        <v>0.139</v>
      </c>
      <c r="M16" s="10" t="n">
        <f aca="false">Financials!M15/Financials!M5</f>
        <v>0.139</v>
      </c>
      <c r="N16" s="10" t="n">
        <f aca="false">Financials!N15/Financials!N5</f>
        <v>0.139</v>
      </c>
      <c r="O16" s="10" t="n">
        <f aca="false">Financials!O15/Financials!O5</f>
        <v>0.139</v>
      </c>
      <c r="P16" s="10" t="n">
        <f aca="false">Financials!P15/Financials!P5</f>
        <v>0.139</v>
      </c>
    </row>
    <row r="17" customFormat="false" ht="15" hidden="false" customHeight="false" outlineLevel="0" collapsed="false">
      <c r="A17" s="8" t="s">
        <v>30</v>
      </c>
      <c r="B17" s="11" t="n">
        <v>749.41</v>
      </c>
      <c r="C17" s="11" t="n">
        <v>363.21</v>
      </c>
      <c r="D17" s="11" t="n">
        <v>504.22</v>
      </c>
      <c r="E17" s="11" t="n">
        <v>872.32</v>
      </c>
      <c r="F17" s="11" t="n">
        <v>494.31</v>
      </c>
      <c r="G17" s="11" t="n">
        <v>1012.11</v>
      </c>
      <c r="H17" s="11" t="n">
        <v>834.23</v>
      </c>
      <c r="I17" s="11" t="n">
        <v>1146.39</v>
      </c>
      <c r="J17" s="11" t="n">
        <v>6403.1</v>
      </c>
      <c r="K17" s="11" t="n">
        <v>11688.34</v>
      </c>
      <c r="L17" s="12" t="n">
        <f aca="false">Financials!L5*Assumptions!L12</f>
        <v>5274.602025</v>
      </c>
      <c r="M17" s="12" t="n">
        <f aca="false">Financials!M5*Assumptions!M12</f>
        <v>5591.0781465</v>
      </c>
      <c r="N17" s="12" t="n">
        <f aca="false">Financials!N5*Assumptions!N12</f>
        <v>5982.453616755</v>
      </c>
      <c r="O17" s="12" t="n">
        <f aca="false">Financials!O5*Assumptions!O12</f>
        <v>6401.22536992785</v>
      </c>
      <c r="P17" s="12" t="n">
        <f aca="false">Financials!P5*Assumptions!P12</f>
        <v>6849.3111458228</v>
      </c>
    </row>
    <row r="18" customFormat="false" ht="15" hidden="false" customHeight="false" outlineLevel="0" collapsed="false">
      <c r="A18" s="8" t="s">
        <v>31</v>
      </c>
      <c r="B18" s="11" t="n">
        <v>315.46</v>
      </c>
      <c r="C18" s="11" t="n">
        <v>663.92</v>
      </c>
      <c r="D18" s="11" t="n">
        <v>389.77</v>
      </c>
      <c r="E18" s="11" t="n">
        <v>472.06</v>
      </c>
      <c r="F18" s="11" t="n">
        <v>537.14</v>
      </c>
      <c r="G18" s="11" t="n">
        <v>1247.78</v>
      </c>
      <c r="H18" s="11" t="n">
        <v>2436.14</v>
      </c>
      <c r="I18" s="11" t="n">
        <v>3042.15</v>
      </c>
      <c r="J18" s="11" t="n">
        <v>4211.33</v>
      </c>
      <c r="K18" s="11" t="n">
        <v>6135.34</v>
      </c>
      <c r="L18" s="12" t="n">
        <f aca="false">Financials!K53*Assumptions!L13</f>
        <v>9098.73099</v>
      </c>
      <c r="M18" s="12" t="n">
        <f aca="false">Financials!L53*Assumptions!M13</f>
        <v>10463.399041665</v>
      </c>
      <c r="N18" s="12" t="n">
        <f aca="false">Financials!M53*Assumptions!N13</f>
        <v>11845.266385241</v>
      </c>
      <c r="O18" s="12" t="n">
        <f aca="false">Financials!N53*Assumptions!O13</f>
        <v>13272.5595194252</v>
      </c>
      <c r="P18" s="12" t="n">
        <f aca="false">Financials!O53*Assumptions!P13</f>
        <v>14752.5113385121</v>
      </c>
    </row>
    <row r="19" customFormat="false" ht="15" hidden="false" customHeight="false" outlineLevel="0" collapsed="false">
      <c r="A19" s="8" t="s">
        <v>32</v>
      </c>
      <c r="B19" s="14" t="n">
        <f aca="false">Financials!B15-Financials!B18</f>
        <v>1586.77</v>
      </c>
      <c r="C19" s="14" t="n">
        <f aca="false">Financials!C15-Financials!C18</f>
        <v>1373.78999999999</v>
      </c>
      <c r="D19" s="14" t="n">
        <f aca="false">Financials!D15-Financials!D18</f>
        <v>1579.57</v>
      </c>
      <c r="E19" s="14" t="n">
        <f aca="false">Financials!E15-Financials!E18</f>
        <v>1822.33000000001</v>
      </c>
      <c r="F19" s="14" t="n">
        <f aca="false">Financials!F15-Financials!F18</f>
        <v>1968.50999999999</v>
      </c>
      <c r="G19" s="14" t="n">
        <f aca="false">Financials!G15-Financials!G18</f>
        <v>2465.81999999999</v>
      </c>
      <c r="H19" s="14" t="n">
        <f aca="false">Financials!H15-Financials!H18</f>
        <v>6381.55</v>
      </c>
      <c r="I19" s="14" t="n">
        <f aca="false">Financials!I15-Financials!I18</f>
        <v>8334.44999999999</v>
      </c>
      <c r="J19" s="14" t="n">
        <f aca="false">Financials!J15-Financials!J18</f>
        <v>10040.7</v>
      </c>
      <c r="K19" s="14" t="n">
        <f aca="false">Financials!K15-Financials!K18</f>
        <v>7855.44</v>
      </c>
      <c r="L19" s="12" t="n">
        <f aca="false">Financials!L15-Financials!L18</f>
        <v>5564.6626395</v>
      </c>
      <c r="M19" s="12" t="n">
        <f aca="false">Financials!M15-Financials!M18</f>
        <v>5079.798205605</v>
      </c>
      <c r="N19" s="12" t="n">
        <f aca="false">Financials!N15-Financials!N18</f>
        <v>4785.95466933793</v>
      </c>
      <c r="O19" s="12" t="n">
        <f aca="false">Financials!O15-Financials!O18</f>
        <v>4522.84700897427</v>
      </c>
      <c r="P19" s="12" t="n">
        <f aca="false">Financials!P15-Financials!P18</f>
        <v>4288.57364687531</v>
      </c>
    </row>
    <row r="20" customFormat="false" ht="15" hidden="false" customHeight="false" outlineLevel="0" collapsed="false">
      <c r="A20" s="8" t="s">
        <v>33</v>
      </c>
      <c r="B20" s="11" t="n">
        <v>1257.31</v>
      </c>
      <c r="C20" s="11" t="n">
        <v>1250.17</v>
      </c>
      <c r="D20" s="11" t="n">
        <v>1625.07</v>
      </c>
      <c r="E20" s="11" t="n">
        <v>1572.32</v>
      </c>
      <c r="F20" s="11" t="n">
        <v>1376.85</v>
      </c>
      <c r="G20" s="11" t="n">
        <v>2525.88</v>
      </c>
      <c r="H20" s="11" t="n">
        <v>3968.9</v>
      </c>
      <c r="I20" s="11" t="n">
        <v>4554.7</v>
      </c>
      <c r="J20" s="11" t="n">
        <v>5978.02</v>
      </c>
      <c r="K20" s="11" t="n">
        <v>6019.12</v>
      </c>
      <c r="L20" s="12" t="n">
        <f aca="false">Financials!K49*Assumptions!L14</f>
        <v>7037.03814</v>
      </c>
      <c r="M20" s="12" t="n">
        <f aca="false">Financials!L49*Assumptions!M14</f>
        <v>8687.03814</v>
      </c>
      <c r="N20" s="12" t="n">
        <f aca="false">Financials!M49*Assumptions!N14</f>
        <v>10337.03814</v>
      </c>
      <c r="O20" s="12" t="n">
        <f aca="false">Financials!N49*Assumptions!O14</f>
        <v>11657.03814</v>
      </c>
      <c r="P20" s="12" t="n">
        <f aca="false">Financials!O49*Assumptions!P14</f>
        <v>12647.03814</v>
      </c>
    </row>
    <row r="21" customFormat="false" ht="15" hidden="false" customHeight="false" outlineLevel="0" collapsed="false">
      <c r="A21" s="5" t="s">
        <v>34</v>
      </c>
      <c r="B21" s="15" t="n">
        <f aca="false">Financials!B19+Financials!B17-Financials!B20</f>
        <v>1078.87</v>
      </c>
      <c r="C21" s="15" t="n">
        <f aca="false">Financials!C19+Financials!C17-Financials!C20</f>
        <v>486.829999999992</v>
      </c>
      <c r="D21" s="15" t="n">
        <f aca="false">Financials!D19+Financials!D17-Financials!D20</f>
        <v>458.720000000004</v>
      </c>
      <c r="E21" s="15" t="n">
        <f aca="false">Financials!E19+Financials!E17-Financials!E20</f>
        <v>1122.33000000001</v>
      </c>
      <c r="F21" s="15" t="n">
        <f aca="false">Financials!F19+Financials!F17-Financials!F20</f>
        <v>1085.96999999999</v>
      </c>
      <c r="G21" s="15" t="n">
        <f aca="false">Financials!G19+Financials!G17-Financials!G20</f>
        <v>952.049999999992</v>
      </c>
      <c r="H21" s="15" t="n">
        <f aca="false">Financials!H19+Financials!H17-Financials!H20</f>
        <v>3246.88</v>
      </c>
      <c r="I21" s="15" t="n">
        <f aca="false">Financials!I19+Financials!I17-Financials!I20</f>
        <v>4926.13999999999</v>
      </c>
      <c r="J21" s="15" t="n">
        <f aca="false">Financials!J19+Financials!J17-Financials!J20</f>
        <v>10465.78</v>
      </c>
      <c r="K21" s="15" t="n">
        <f aca="false">Financials!K19+Financials!K17-Financials!K20</f>
        <v>13524.66</v>
      </c>
      <c r="L21" s="16" t="n">
        <f aca="false">Financials!L19+Financials!L17-Financials!L20</f>
        <v>3802.2265245</v>
      </c>
      <c r="M21" s="16" t="n">
        <f aca="false">Financials!M19+Financials!M17-Financials!M20</f>
        <v>1983.838212105</v>
      </c>
      <c r="N21" s="16" t="n">
        <f aca="false">Financials!N19+Financials!N17-Financials!N20</f>
        <v>431.370146092935</v>
      </c>
      <c r="O21" s="16" t="n">
        <f aca="false">Financials!O19+Financials!O17-Financials!O20</f>
        <v>-732.965761097874</v>
      </c>
      <c r="P21" s="16" t="n">
        <f aca="false">Financials!P19+Financials!P17-Financials!P20</f>
        <v>-1509.15334730188</v>
      </c>
    </row>
    <row r="22" customFormat="false" ht="15" hidden="false" customHeight="false" outlineLevel="0" collapsed="false">
      <c r="A22" s="8" t="s">
        <v>35</v>
      </c>
      <c r="B22" s="11" t="n">
        <v>271.15</v>
      </c>
      <c r="C22" s="11" t="n">
        <v>112.11</v>
      </c>
      <c r="D22" s="11" t="n">
        <v>144.54</v>
      </c>
      <c r="E22" s="11" t="n">
        <v>324.33</v>
      </c>
      <c r="F22" s="11" t="n">
        <v>339.65</v>
      </c>
      <c r="G22" s="11" t="n">
        <v>476.68</v>
      </c>
      <c r="H22" s="11" t="n">
        <v>1037.94</v>
      </c>
      <c r="I22" s="11" t="n">
        <v>1631.51</v>
      </c>
      <c r="J22" s="11" t="n">
        <v>2968.52</v>
      </c>
      <c r="K22" s="11" t="n">
        <v>3831.15</v>
      </c>
      <c r="L22" s="12" t="n">
        <f aca="false">Financials!L21*Assumptions!L15</f>
        <v>1076.0301064335</v>
      </c>
      <c r="M22" s="12" t="n">
        <f aca="false">Financials!M21*Assumptions!M15</f>
        <v>561.426214025716</v>
      </c>
      <c r="N22" s="12" t="n">
        <f aca="false">Financials!N21*Assumptions!N15</f>
        <v>122.077751344301</v>
      </c>
      <c r="O22" s="12" t="n">
        <f aca="false">Financials!O21*Assumptions!O15</f>
        <v>-207.429310390698</v>
      </c>
      <c r="P22" s="12" t="n">
        <f aca="false">Financials!P21*Assumptions!P15</f>
        <v>-427.090397286433</v>
      </c>
    </row>
    <row r="23" customFormat="false" ht="15" hidden="false" customHeight="false" outlineLevel="0" collapsed="false">
      <c r="A23" s="8" t="s">
        <v>36</v>
      </c>
      <c r="B23" s="9" t="n">
        <f aca="false">Financials!B22/Financials!B21</f>
        <v>0.251327778138237</v>
      </c>
      <c r="C23" s="9" t="n">
        <f aca="false">Financials!C22/Financials!C21</f>
        <v>0.230285726023462</v>
      </c>
      <c r="D23" s="9" t="n">
        <f aca="false">Financials!D22/Financials!D21</f>
        <v>0.315094175095917</v>
      </c>
      <c r="E23" s="9" t="n">
        <f aca="false">Financials!E22/Financials!E21</f>
        <v>0.288979177247332</v>
      </c>
      <c r="F23" s="9" t="n">
        <f aca="false">Financials!F22/Financials!F21</f>
        <v>0.312761862666558</v>
      </c>
      <c r="G23" s="9" t="n">
        <f aca="false">Financials!G22/Financials!G21</f>
        <v>0.500687989076209</v>
      </c>
      <c r="H23" s="9" t="n">
        <f aca="false">Financials!H22/Financials!H21</f>
        <v>0.31967303996452</v>
      </c>
      <c r="I23" s="9" t="n">
        <f aca="false">Financials!I22/Financials!I21</f>
        <v>0.331194403731929</v>
      </c>
      <c r="J23" s="9" t="n">
        <f aca="false">Financials!J22/Financials!J21</f>
        <v>0.283640588661332</v>
      </c>
      <c r="K23" s="9" t="n">
        <f aca="false">Financials!K22/Financials!K21</f>
        <v>0.283271446380168</v>
      </c>
      <c r="L23" s="10" t="n">
        <f aca="false">Financials!L22/Financials!L21</f>
        <v>0.283</v>
      </c>
      <c r="M23" s="10" t="n">
        <f aca="false">Financials!M22/Financials!M21</f>
        <v>0.283</v>
      </c>
      <c r="N23" s="10" t="n">
        <f aca="false">Financials!N22/Financials!N21</f>
        <v>0.283</v>
      </c>
      <c r="O23" s="10" t="n">
        <f aca="false">Financials!O22/Financials!O21</f>
        <v>0.283</v>
      </c>
      <c r="P23" s="10" t="n">
        <f aca="false">Financials!P22/Financials!P21</f>
        <v>0.283</v>
      </c>
    </row>
    <row r="24" customFormat="false" ht="15" hidden="false" customHeight="false" outlineLevel="0" collapsed="false">
      <c r="A24" s="5" t="s">
        <v>37</v>
      </c>
      <c r="B24" s="15" t="n">
        <f aca="false">Financials!B21-Financials!B22</f>
        <v>807.720000000003</v>
      </c>
      <c r="C24" s="15" t="n">
        <f aca="false">Financials!C21-Financials!C22</f>
        <v>374.719999999992</v>
      </c>
      <c r="D24" s="15" t="n">
        <f aca="false">Financials!D21-Financials!D22</f>
        <v>314.180000000004</v>
      </c>
      <c r="E24" s="15" t="n">
        <f aca="false">Financials!E21-Financials!E22</f>
        <v>798.000000000007</v>
      </c>
      <c r="F24" s="15" t="n">
        <f aca="false">Financials!F21-Financials!F22</f>
        <v>746.319999999994</v>
      </c>
      <c r="G24" s="15" t="n">
        <f aca="false">Financials!G21-Financials!G22</f>
        <v>475.369999999992</v>
      </c>
      <c r="H24" s="15" t="n">
        <f aca="false">Financials!H21-Financials!H22</f>
        <v>2208.94</v>
      </c>
      <c r="I24" s="15" t="n">
        <f aca="false">Financials!I21-Financials!I22</f>
        <v>3294.62999999999</v>
      </c>
      <c r="J24" s="15" t="n">
        <f aca="false">Financials!J21-Financials!J22</f>
        <v>7497.26000000001</v>
      </c>
      <c r="K24" s="15" t="n">
        <f aca="false">Financials!K21-Financials!K22</f>
        <v>9693.51</v>
      </c>
      <c r="L24" s="16" t="n">
        <f aca="false">Financials!L21-Financials!L22</f>
        <v>2726.1964180665</v>
      </c>
      <c r="M24" s="16" t="n">
        <f aca="false">Financials!M21-Financials!M22</f>
        <v>1422.41199807929</v>
      </c>
      <c r="N24" s="16" t="n">
        <f aca="false">Financials!N21-Financials!N22</f>
        <v>309.292394748635</v>
      </c>
      <c r="O24" s="16" t="n">
        <f aca="false">Financials!O21-Financials!O22</f>
        <v>-525.536450707176</v>
      </c>
      <c r="P24" s="16" t="n">
        <f aca="false">Financials!P21-Financials!P22</f>
        <v>-1082.06295001545</v>
      </c>
    </row>
    <row r="25" customFormat="false" ht="15" hidden="false" customHeight="false" outlineLevel="0" collapsed="false">
      <c r="A25" s="8" t="s">
        <v>38</v>
      </c>
      <c r="B25" s="14" t="n">
        <f aca="false">Financials!B24-Financials!B26</f>
        <v>-180.019999999997</v>
      </c>
      <c r="C25" s="14" t="n">
        <f aca="false">Financials!C24-Financials!C26</f>
        <v>-382.530000000008</v>
      </c>
      <c r="D25" s="14" t="n">
        <f aca="false">Financials!D24-Financials!D26</f>
        <v>-402.959999999996</v>
      </c>
      <c r="E25" s="14" t="n">
        <f aca="false">Financials!E24-Financials!E26</f>
        <v>-340.169999999993</v>
      </c>
      <c r="F25" s="14" t="n">
        <f aca="false">Financials!F24-Financials!F26</f>
        <v>-176.320000000006</v>
      </c>
      <c r="G25" s="14" t="n">
        <f aca="false">Financials!G24-Financials!G26</f>
        <v>-301.190000000008</v>
      </c>
      <c r="H25" s="14" t="n">
        <f aca="false">Financials!H24-Financials!H26</f>
        <v>-255.039999999998</v>
      </c>
      <c r="I25" s="14" t="n">
        <f aca="false">Financials!I24-Financials!I26</f>
        <v>55.0799999999908</v>
      </c>
      <c r="J25" s="14" t="n">
        <f aca="false">Financials!J24-Financials!J26</f>
        <v>385.300000000013</v>
      </c>
      <c r="K25" s="14" t="n">
        <f aca="false">Financials!K24-Financials!K26</f>
        <v>354.040000000001</v>
      </c>
      <c r="L25" s="12" t="n">
        <f aca="false">Financials!L24*Assumptions!L16</f>
        <v>100.869267468461</v>
      </c>
      <c r="M25" s="12" t="n">
        <f aca="false">Financials!M24*Assumptions!M16</f>
        <v>52.6292439289336</v>
      </c>
      <c r="N25" s="12" t="n">
        <f aca="false">Financials!N24*Assumptions!N16</f>
        <v>11.4438186056995</v>
      </c>
      <c r="O25" s="12" t="n">
        <f aca="false">Financials!O24*Assumptions!O16</f>
        <v>-19.4448486761655</v>
      </c>
      <c r="P25" s="12" t="n">
        <f aca="false">Financials!P24*Assumptions!P16</f>
        <v>-40.0363291505717</v>
      </c>
    </row>
    <row r="26" customFormat="false" ht="15" hidden="false" customHeight="false" outlineLevel="0" collapsed="false">
      <c r="A26" s="5" t="s">
        <v>39</v>
      </c>
      <c r="B26" s="17" t="n">
        <v>987.74</v>
      </c>
      <c r="C26" s="17" t="n">
        <v>757.25</v>
      </c>
      <c r="D26" s="17" t="n">
        <v>717.14</v>
      </c>
      <c r="E26" s="17" t="n">
        <v>1138.17</v>
      </c>
      <c r="F26" s="17" t="n">
        <v>922.64</v>
      </c>
      <c r="G26" s="17" t="n">
        <v>776.56</v>
      </c>
      <c r="H26" s="17" t="n">
        <v>2463.98</v>
      </c>
      <c r="I26" s="17" t="n">
        <v>3239.55</v>
      </c>
      <c r="J26" s="17" t="n">
        <v>7111.96</v>
      </c>
      <c r="K26" s="17" t="n">
        <v>9339.47</v>
      </c>
      <c r="L26" s="16" t="n">
        <f aca="false">Financials!L24-Financials!L25</f>
        <v>2625.32715059804</v>
      </c>
      <c r="M26" s="16" t="n">
        <f aca="false">Financials!M24-Financials!M25</f>
        <v>1369.78275415035</v>
      </c>
      <c r="N26" s="16" t="n">
        <f aca="false">Financials!N24-Financials!N25</f>
        <v>297.848576142935</v>
      </c>
      <c r="O26" s="16" t="n">
        <f aca="false">Financials!O24-Financials!O25</f>
        <v>-506.09160203101</v>
      </c>
      <c r="P26" s="16" t="n">
        <f aca="false">Financials!P24-Financials!P25</f>
        <v>-1042.02662086488</v>
      </c>
    </row>
    <row r="27" customFormat="false" ht="15" hidden="false" customHeight="false" outlineLevel="0" collapsed="false">
      <c r="A27" s="8" t="s">
        <v>40</v>
      </c>
      <c r="B27" s="11" t="n">
        <v>43.99</v>
      </c>
      <c r="C27" s="11" t="n">
        <v>43.99</v>
      </c>
      <c r="D27" s="11" t="n">
        <v>43.99</v>
      </c>
      <c r="E27" s="11" t="n">
        <v>109.98</v>
      </c>
      <c r="F27" s="11" t="n">
        <v>109.98</v>
      </c>
      <c r="G27" s="11" t="n">
        <v>109.98</v>
      </c>
      <c r="H27" s="11" t="n">
        <v>136.8</v>
      </c>
      <c r="I27" s="11" t="n">
        <v>148.2</v>
      </c>
      <c r="J27" s="11" t="n">
        <v>150.05</v>
      </c>
      <c r="K27" s="11" t="n">
        <v>168.01</v>
      </c>
      <c r="L27" s="12" t="n">
        <f aca="false">Financials!L26*Assumptions!L17</f>
        <v>52.5065430119608</v>
      </c>
      <c r="M27" s="12" t="n">
        <f aca="false">Financials!M26*Assumptions!M17</f>
        <v>27.3956550830071</v>
      </c>
      <c r="N27" s="12" t="n">
        <f aca="false">Financials!N26*Assumptions!N17</f>
        <v>5.9569715228587</v>
      </c>
      <c r="O27" s="12" t="n">
        <f aca="false">Financials!O26*Assumptions!O17</f>
        <v>-10.1218320406202</v>
      </c>
      <c r="P27" s="12" t="n">
        <f aca="false">Financials!P26*Assumptions!P17</f>
        <v>-20.8405324172976</v>
      </c>
    </row>
    <row r="28" customFormat="false" ht="15" hidden="false" customHeight="false" outlineLevel="0" collapsed="false">
      <c r="A28" s="8" t="s">
        <v>41</v>
      </c>
      <c r="B28" s="18" t="n">
        <v>123.18</v>
      </c>
      <c r="C28" s="18" t="n">
        <v>123.18</v>
      </c>
      <c r="D28" s="18" t="n">
        <v>123.18</v>
      </c>
      <c r="E28" s="18" t="n">
        <v>123.18</v>
      </c>
      <c r="F28" s="18" t="n">
        <v>123.18</v>
      </c>
      <c r="G28" s="18" t="n">
        <v>123.18</v>
      </c>
      <c r="H28" s="18" t="n">
        <v>127.68</v>
      </c>
      <c r="I28" s="18" t="n">
        <v>127.68</v>
      </c>
      <c r="J28" s="18" t="n">
        <v>129.27</v>
      </c>
      <c r="K28" s="18" t="n">
        <v>129.16</v>
      </c>
      <c r="L28" s="19" t="n">
        <f aca="false">Financials!K28</f>
        <v>129.16</v>
      </c>
      <c r="M28" s="19" t="n">
        <f aca="false">Financials!L28</f>
        <v>129.16</v>
      </c>
      <c r="N28" s="19" t="n">
        <f aca="false">Financials!M28</f>
        <v>129.16</v>
      </c>
      <c r="O28" s="19" t="n">
        <f aca="false">Financials!N28</f>
        <v>129.16</v>
      </c>
      <c r="P28" s="19" t="n">
        <f aca="false">Financials!O28</f>
        <v>129.16</v>
      </c>
    </row>
    <row r="29" customFormat="false" ht="15" hidden="false" customHeight="false" outlineLevel="0" collapsed="false">
      <c r="A29" s="5" t="s">
        <v>42</v>
      </c>
      <c r="B29" s="20" t="n">
        <f aca="false">Financials!B26/Financials!B28</f>
        <v>8.01867186231531</v>
      </c>
      <c r="C29" s="20" t="n">
        <f aca="false">Financials!C26/Financials!C28</f>
        <v>6.14750771229096</v>
      </c>
      <c r="D29" s="20" t="n">
        <f aca="false">Financials!D26/Financials!D28</f>
        <v>5.82188666991395</v>
      </c>
      <c r="E29" s="20" t="n">
        <f aca="false">Financials!E26/Financials!E28</f>
        <v>9.23989283974671</v>
      </c>
      <c r="F29" s="20" t="n">
        <f aca="false">Financials!F26/Financials!F28</f>
        <v>7.49017697678194</v>
      </c>
      <c r="G29" s="20" t="n">
        <f aca="false">Financials!G26/Financials!G28</f>
        <v>6.3042701737295</v>
      </c>
      <c r="H29" s="20" t="n">
        <f aca="false">Financials!H26/Financials!H28</f>
        <v>19.2980889724311</v>
      </c>
      <c r="I29" s="20" t="n">
        <f aca="false">Financials!I26/Financials!I28</f>
        <v>25.3724154135338</v>
      </c>
      <c r="J29" s="20" t="n">
        <f aca="false">Financials!J26/Financials!J28</f>
        <v>55.0163224259302</v>
      </c>
      <c r="K29" s="20" t="n">
        <f aca="false">Financials!K26/Financials!K28</f>
        <v>72.3093062867761</v>
      </c>
      <c r="L29" s="21" t="n">
        <f aca="false">Financials!L26/Financials!L28</f>
        <v>20.3261625162437</v>
      </c>
      <c r="M29" s="21" t="n">
        <f aca="false">Financials!M26/Financials!M28</f>
        <v>10.6053170807553</v>
      </c>
      <c r="N29" s="21" t="n">
        <f aca="false">Financials!N26/Financials!N28</f>
        <v>2.30604348206051</v>
      </c>
      <c r="O29" s="21" t="n">
        <f aca="false">Financials!O26/Financials!O28</f>
        <v>-3.91833076827973</v>
      </c>
      <c r="P29" s="21" t="n">
        <f aca="false">Financials!P26/Financials!P28</f>
        <v>-8.06771926962589</v>
      </c>
    </row>
    <row r="43" customFormat="false" ht="15" hidden="false" customHeight="false" outlineLevel="0" collapsed="false">
      <c r="A43" s="22" t="s">
        <v>43</v>
      </c>
      <c r="B43" s="4" t="s">
        <v>3</v>
      </c>
      <c r="C43" s="4" t="s">
        <v>4</v>
      </c>
      <c r="D43" s="4" t="s">
        <v>5</v>
      </c>
      <c r="E43" s="4" t="s">
        <v>6</v>
      </c>
      <c r="F43" s="4" t="s">
        <v>7</v>
      </c>
      <c r="G43" s="4" t="s">
        <v>8</v>
      </c>
      <c r="H43" s="4" t="s">
        <v>9</v>
      </c>
      <c r="I43" s="4" t="s">
        <v>10</v>
      </c>
      <c r="J43" s="4" t="s">
        <v>11</v>
      </c>
      <c r="K43" s="4" t="s">
        <v>12</v>
      </c>
      <c r="L43" s="4" t="s">
        <v>13</v>
      </c>
      <c r="M43" s="4" t="s">
        <v>14</v>
      </c>
      <c r="N43" s="4" t="s">
        <v>15</v>
      </c>
      <c r="O43" s="4" t="s">
        <v>16</v>
      </c>
      <c r="P43" s="4" t="s">
        <v>17</v>
      </c>
    </row>
    <row r="45" customFormat="false" ht="15" hidden="false" customHeight="false" outlineLevel="0" collapsed="false">
      <c r="A45" s="8" t="s">
        <v>44</v>
      </c>
      <c r="B45" s="11" t="n">
        <v>109.98</v>
      </c>
      <c r="C45" s="11" t="n">
        <v>109.98</v>
      </c>
      <c r="D45" s="11" t="n">
        <v>109.98</v>
      </c>
      <c r="E45" s="11" t="n">
        <v>109.98</v>
      </c>
      <c r="F45" s="11" t="n">
        <v>109.98</v>
      </c>
      <c r="G45" s="11" t="n">
        <v>109.98</v>
      </c>
      <c r="H45" s="11" t="n">
        <v>114</v>
      </c>
      <c r="I45" s="11" t="n">
        <v>114</v>
      </c>
      <c r="J45" s="11" t="n">
        <v>115.42</v>
      </c>
      <c r="K45" s="11" t="n">
        <v>129.24</v>
      </c>
      <c r="L45" s="12" t="n">
        <f aca="false">Financials!K45</f>
        <v>129.24</v>
      </c>
      <c r="M45" s="12" t="n">
        <f aca="false">Financials!L45</f>
        <v>129.24</v>
      </c>
      <c r="N45" s="12" t="n">
        <f aca="false">Financials!M45</f>
        <v>129.24</v>
      </c>
      <c r="O45" s="12" t="n">
        <f aca="false">Financials!N45</f>
        <v>129.24</v>
      </c>
      <c r="P45" s="12" t="n">
        <f aca="false">Financials!O45</f>
        <v>129.24</v>
      </c>
    </row>
    <row r="46" customFormat="false" ht="15" hidden="false" customHeight="false" outlineLevel="0" collapsed="false">
      <c r="A46" s="8" t="s">
        <v>45</v>
      </c>
      <c r="B46" s="11" t="n">
        <v>14025.99</v>
      </c>
      <c r="C46" s="11" t="n">
        <v>14979.19</v>
      </c>
      <c r="D46" s="11" t="n">
        <v>14645.96</v>
      </c>
      <c r="E46" s="11" t="n">
        <v>16836.59</v>
      </c>
      <c r="F46" s="11" t="n">
        <v>17048.59</v>
      </c>
      <c r="G46" s="11" t="n">
        <v>22146.53</v>
      </c>
      <c r="H46" s="11" t="n">
        <v>32937.01</v>
      </c>
      <c r="I46" s="11" t="n">
        <v>38962.09</v>
      </c>
      <c r="J46" s="11" t="n">
        <v>50198.55</v>
      </c>
      <c r="K46" s="11" t="n">
        <v>80796.71</v>
      </c>
      <c r="L46" s="12" t="n">
        <f aca="false">Financials!K46+Financials!L26-Financials!L27</f>
        <v>83369.5306075861</v>
      </c>
      <c r="M46" s="12" t="n">
        <f aca="false">Financials!L46+Financials!M26-Financials!M27</f>
        <v>84711.9177066534</v>
      </c>
      <c r="N46" s="12" t="n">
        <f aca="false">Financials!M46+Financials!N26-Financials!N27</f>
        <v>85003.8093112735</v>
      </c>
      <c r="O46" s="12" t="n">
        <f aca="false">Financials!N46+Financials!O26-Financials!O27</f>
        <v>84507.8395412831</v>
      </c>
      <c r="P46" s="12" t="n">
        <f aca="false">Financials!O46+Financials!P26-Financials!P27</f>
        <v>83486.6534528355</v>
      </c>
    </row>
    <row r="47" customFormat="false" ht="15" hidden="false" customHeight="false" outlineLevel="0" collapsed="false">
      <c r="A47" s="5" t="s">
        <v>46</v>
      </c>
      <c r="B47" s="23" t="n">
        <f aca="false">Financials!B45+Financials!B46</f>
        <v>14135.97</v>
      </c>
      <c r="C47" s="23" t="n">
        <f aca="false">Financials!C45+Financials!C46</f>
        <v>15089.17</v>
      </c>
      <c r="D47" s="23" t="n">
        <f aca="false">Financials!D45+Financials!D46</f>
        <v>14755.94</v>
      </c>
      <c r="E47" s="23" t="n">
        <f aca="false">Financials!E45+Financials!E46</f>
        <v>16946.57</v>
      </c>
      <c r="F47" s="23" t="n">
        <f aca="false">Financials!F45+Financials!F46</f>
        <v>17158.57</v>
      </c>
      <c r="G47" s="23" t="n">
        <f aca="false">Financials!G45+Financials!G46</f>
        <v>22256.51</v>
      </c>
      <c r="H47" s="23" t="n">
        <f aca="false">Financials!H45+Financials!H46</f>
        <v>33051.01</v>
      </c>
      <c r="I47" s="23" t="n">
        <f aca="false">Financials!I45+Financials!I46</f>
        <v>39076.09</v>
      </c>
      <c r="J47" s="23" t="n">
        <f aca="false">Financials!J45+Financials!J46</f>
        <v>50313.97</v>
      </c>
      <c r="K47" s="23" t="n">
        <f aca="false">Financials!K45+Financials!K46</f>
        <v>80925.95</v>
      </c>
      <c r="L47" s="7" t="n">
        <f aca="false">Financials!L45+Financials!L46</f>
        <v>83498.7706075861</v>
      </c>
      <c r="M47" s="7" t="n">
        <f aca="false">Financials!M45+Financials!M46</f>
        <v>84841.1577066534</v>
      </c>
      <c r="N47" s="7" t="n">
        <f aca="false">Financials!N45+Financials!N46</f>
        <v>85133.0493112735</v>
      </c>
      <c r="O47" s="7" t="n">
        <f aca="false">Financials!O45+Financials!O46</f>
        <v>84637.0795412831</v>
      </c>
      <c r="P47" s="7" t="n">
        <f aca="false">Financials!P45+Financials!P46</f>
        <v>83615.8934528355</v>
      </c>
    </row>
    <row r="48" customFormat="false" ht="15" hidden="false" customHeight="false" outlineLevel="0" collapsed="false">
      <c r="A48" s="8" t="s">
        <v>47</v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2" t="n">
        <f aca="false">Financials!K48+Financials!L25</f>
        <v>100.869267468461</v>
      </c>
      <c r="M48" s="12" t="n">
        <f aca="false">Financials!L48+Financials!M25</f>
        <v>153.498511397394</v>
      </c>
      <c r="N48" s="12" t="n">
        <f aca="false">Financials!M48+Financials!N25</f>
        <v>164.942330003094</v>
      </c>
      <c r="O48" s="12" t="n">
        <f aca="false">Financials!N48+Financials!O25</f>
        <v>145.497481326928</v>
      </c>
      <c r="P48" s="12" t="n">
        <f aca="false">Financials!O48+Financials!P25</f>
        <v>105.461152176356</v>
      </c>
    </row>
    <row r="49" customFormat="false" ht="15" hidden="false" customHeight="false" outlineLevel="0" collapsed="false">
      <c r="A49" s="8" t="s">
        <v>48</v>
      </c>
      <c r="B49" s="11" t="n">
        <v>20845.72</v>
      </c>
      <c r="C49" s="11" t="n">
        <v>17636.69</v>
      </c>
      <c r="D49" s="11" t="n">
        <v>11243.2</v>
      </c>
      <c r="E49" s="11" t="n">
        <v>12419.3</v>
      </c>
      <c r="F49" s="11" t="n">
        <v>16227.06</v>
      </c>
      <c r="G49" s="11" t="n">
        <v>41604.03</v>
      </c>
      <c r="H49" s="11" t="n">
        <v>53200.46</v>
      </c>
      <c r="I49" s="11" t="n">
        <v>65310.15</v>
      </c>
      <c r="J49" s="11" t="n">
        <v>91472.6</v>
      </c>
      <c r="K49" s="11" t="n">
        <v>106621.79</v>
      </c>
      <c r="L49" s="12" t="n">
        <f aca="false">Financials!K49+Assumptions!L19</f>
        <v>131621.79</v>
      </c>
      <c r="M49" s="12" t="n">
        <f aca="false">Financials!L49+Assumptions!M19</f>
        <v>156621.79</v>
      </c>
      <c r="N49" s="12" t="n">
        <f aca="false">Financials!M49+Assumptions!N19</f>
        <v>176621.79</v>
      </c>
      <c r="O49" s="12" t="n">
        <f aca="false">Financials!N49+Assumptions!O19</f>
        <v>191621.79</v>
      </c>
      <c r="P49" s="12" t="n">
        <f aca="false">Financials!O49+Assumptions!P19</f>
        <v>201621.79</v>
      </c>
    </row>
    <row r="50" customFormat="false" ht="15" hidden="false" customHeight="false" outlineLevel="0" collapsed="false">
      <c r="A50" s="8" t="s">
        <v>49</v>
      </c>
      <c r="B50" s="11" t="n">
        <v>12629.78</v>
      </c>
      <c r="C50" s="11" t="n">
        <v>23679.48</v>
      </c>
      <c r="D50" s="11" t="n">
        <v>16537.04</v>
      </c>
      <c r="E50" s="11" t="n">
        <v>17509.19</v>
      </c>
      <c r="F50" s="11" t="n">
        <v>18231.09</v>
      </c>
      <c r="G50" s="11" t="n">
        <v>37725.82</v>
      </c>
      <c r="H50" s="11" t="n">
        <v>55027.01</v>
      </c>
      <c r="I50" s="11" t="n">
        <v>56200</v>
      </c>
      <c r="J50" s="11" t="n">
        <v>56056.31</v>
      </c>
      <c r="K50" s="11" t="n">
        <v>73320.64</v>
      </c>
      <c r="L50" s="12" t="n">
        <f aca="false">Financials!L5*Assumptions!L23</f>
        <v>77009.189565</v>
      </c>
      <c r="M50" s="12" t="n">
        <f aca="false">Financials!M5*Assumptions!M23</f>
        <v>81629.7409389</v>
      </c>
      <c r="N50" s="12" t="n">
        <f aca="false">Financials!N5*Assumptions!N23</f>
        <v>87343.822804623</v>
      </c>
      <c r="O50" s="12" t="n">
        <f aca="false">Financials!O5*Assumptions!O23</f>
        <v>93457.8904009466</v>
      </c>
      <c r="P50" s="12" t="n">
        <f aca="false">Financials!P5*Assumptions!P23</f>
        <v>99999.9427290129</v>
      </c>
    </row>
    <row r="51" customFormat="false" ht="15" hidden="false" customHeight="false" outlineLevel="0" collapsed="false">
      <c r="A51" s="5" t="s">
        <v>50</v>
      </c>
      <c r="B51" s="15" t="n">
        <f aca="false">Financials!B47+Financials!B48+Financials!B49+Financials!B50</f>
        <v>47611.47</v>
      </c>
      <c r="C51" s="15" t="n">
        <f aca="false">Financials!C47+Financials!C48+Financials!C49+Financials!C50</f>
        <v>56405.34</v>
      </c>
      <c r="D51" s="15" t="n">
        <f aca="false">Financials!D47+Financials!D48+Financials!D49+Financials!D50</f>
        <v>42536.18</v>
      </c>
      <c r="E51" s="15" t="n">
        <f aca="false">Financials!E47+Financials!E48+Financials!E49+Financials!E50</f>
        <v>46875.06</v>
      </c>
      <c r="F51" s="15" t="n">
        <f aca="false">Financials!F47+Financials!F48+Financials!F49+Financials!F50</f>
        <v>51616.72</v>
      </c>
      <c r="G51" s="15" t="n">
        <f aca="false">Financials!G47+Financials!G48+Financials!G49+Financials!G50</f>
        <v>101586.36</v>
      </c>
      <c r="H51" s="15" t="n">
        <f aca="false">Financials!H47+Financials!H48+Financials!H49+Financials!H50</f>
        <v>141278.48</v>
      </c>
      <c r="I51" s="15" t="n">
        <f aca="false">Financials!I47+Financials!I48+Financials!I49+Financials!I50</f>
        <v>160586.24</v>
      </c>
      <c r="J51" s="15" t="n">
        <f aca="false">Financials!J47+Financials!J48+Financials!J49+Financials!J50</f>
        <v>197842.88</v>
      </c>
      <c r="K51" s="15" t="n">
        <f aca="false">Financials!K47+Financials!K48+Financials!K49+Financials!K50</f>
        <v>260868.38</v>
      </c>
      <c r="L51" s="16" t="n">
        <f aca="false">Financials!L47+Financials!L48+Financials!L49+Financials!L50</f>
        <v>292230.619440055</v>
      </c>
      <c r="M51" s="16" t="n">
        <f aca="false">Financials!M47+Financials!M48+Financials!M49+Financials!M50</f>
        <v>323246.187156951</v>
      </c>
      <c r="N51" s="16" t="n">
        <f aca="false">Financials!N47+Financials!N48+Financials!N49+Financials!N50</f>
        <v>349263.6044459</v>
      </c>
      <c r="O51" s="16" t="n">
        <f aca="false">Financials!O47+Financials!O48+Financials!O49+Financials!O50</f>
        <v>369862.257423557</v>
      </c>
      <c r="P51" s="16" t="n">
        <f aca="false">Financials!P47+Financials!P48+Financials!P49+Financials!P50</f>
        <v>385343.087334025</v>
      </c>
    </row>
    <row r="53" customFormat="false" ht="15" hidden="false" customHeight="false" outlineLevel="0" collapsed="false">
      <c r="A53" s="8" t="s">
        <v>51</v>
      </c>
      <c r="B53" s="11" t="n">
        <v>13667.98</v>
      </c>
      <c r="C53" s="11" t="n">
        <v>10555.19</v>
      </c>
      <c r="D53" s="11" t="n">
        <v>9020.11</v>
      </c>
      <c r="E53" s="11" t="n">
        <v>10476.46</v>
      </c>
      <c r="F53" s="11" t="n">
        <v>10837.61</v>
      </c>
      <c r="G53" s="11" t="n">
        <v>30122.77</v>
      </c>
      <c r="H53" s="11" t="n">
        <v>56881.13</v>
      </c>
      <c r="I53" s="11" t="n">
        <v>65978.3</v>
      </c>
      <c r="J53" s="11" t="n">
        <v>77260.14</v>
      </c>
      <c r="K53" s="11" t="n">
        <v>115173.81</v>
      </c>
      <c r="L53" s="12" t="n">
        <f aca="false">Financials!K53-Financials!L92-Financials!L18</f>
        <v>132448.089135</v>
      </c>
      <c r="M53" s="12" t="n">
        <f aca="false">Financials!L53-Financials!M92-Financials!M18</f>
        <v>149940.080825835</v>
      </c>
      <c r="N53" s="12" t="n">
        <f aca="false">Financials!M53-Financials!N92-Financials!N18</f>
        <v>168007.082524369</v>
      </c>
      <c r="O53" s="12" t="n">
        <f aca="false">Financials!N53-Financials!O92-Financials!O18</f>
        <v>186740.649854583</v>
      </c>
      <c r="P53" s="12" t="n">
        <f aca="false">Financials!O53-Financials!P92-Financials!P18</f>
        <v>206234.694245185</v>
      </c>
    </row>
    <row r="54" customFormat="false" ht="15" hidden="false" customHeight="false" outlineLevel="0" collapsed="false">
      <c r="A54" s="8" t="s">
        <v>52</v>
      </c>
      <c r="B54" s="11" t="n">
        <v>7731.49</v>
      </c>
      <c r="C54" s="11" t="n">
        <v>5525.87</v>
      </c>
      <c r="D54" s="11" t="n">
        <v>5764.92</v>
      </c>
      <c r="E54" s="11" t="n">
        <v>7346.73</v>
      </c>
      <c r="F54" s="11" t="n">
        <v>8825.46</v>
      </c>
      <c r="G54" s="11" t="n">
        <v>23544.42</v>
      </c>
      <c r="H54" s="11" t="n">
        <v>24025.21</v>
      </c>
      <c r="I54" s="11" t="n">
        <v>35179.5</v>
      </c>
      <c r="J54" s="11" t="n">
        <v>51515.81</v>
      </c>
      <c r="K54" s="11" t="n">
        <v>51753.42</v>
      </c>
      <c r="L54" s="12" t="n">
        <f aca="false">Financials!K54</f>
        <v>51753.42</v>
      </c>
      <c r="M54" s="12" t="n">
        <f aca="false">Financials!L54</f>
        <v>51753.42</v>
      </c>
      <c r="N54" s="12" t="n">
        <f aca="false">Financials!M54</f>
        <v>51753.42</v>
      </c>
      <c r="O54" s="12" t="n">
        <f aca="false">Financials!N54</f>
        <v>51753.42</v>
      </c>
      <c r="P54" s="12" t="n">
        <f aca="false">Financials!O54</f>
        <v>51753.42</v>
      </c>
    </row>
    <row r="55" customFormat="false" ht="15" hidden="false" customHeight="false" outlineLevel="0" collapsed="false">
      <c r="A55" s="8" t="s">
        <v>53</v>
      </c>
      <c r="B55" s="11" t="n">
        <v>1041.75</v>
      </c>
      <c r="C55" s="11" t="n">
        <v>1460.72</v>
      </c>
      <c r="D55" s="11" t="n">
        <v>1511.35</v>
      </c>
      <c r="E55" s="11" t="n">
        <v>1952.49</v>
      </c>
      <c r="F55" s="11" t="n">
        <v>5502.94</v>
      </c>
      <c r="G55" s="11" t="n">
        <v>4292.21</v>
      </c>
      <c r="H55" s="11" t="n">
        <v>6310.17</v>
      </c>
      <c r="I55" s="11" t="n">
        <v>8700.69</v>
      </c>
      <c r="J55" s="11" t="n">
        <v>9886.61</v>
      </c>
      <c r="K55" s="11" t="n">
        <v>9428.37</v>
      </c>
      <c r="L55" s="12" t="n">
        <f aca="false">Financials!K55</f>
        <v>9428.37</v>
      </c>
      <c r="M55" s="12" t="n">
        <f aca="false">Financials!L55</f>
        <v>9428.37</v>
      </c>
      <c r="N55" s="12" t="n">
        <f aca="false">Financials!M55</f>
        <v>9428.37</v>
      </c>
      <c r="O55" s="12" t="n">
        <f aca="false">Financials!N55</f>
        <v>9428.37</v>
      </c>
      <c r="P55" s="12" t="n">
        <f aca="false">Financials!O55</f>
        <v>9428.37</v>
      </c>
    </row>
    <row r="56" customFormat="false" ht="15" hidden="false" customHeight="false" outlineLevel="0" collapsed="false">
      <c r="A56" s="8" t="s">
        <v>54</v>
      </c>
      <c r="B56" s="11" t="n">
        <v>12741.75</v>
      </c>
      <c r="C56" s="11" t="n">
        <v>12098.77</v>
      </c>
      <c r="D56" s="11" t="n">
        <v>14307.03</v>
      </c>
      <c r="E56" s="11" t="n">
        <v>13146.53</v>
      </c>
      <c r="F56" s="11" t="n">
        <v>11982.65</v>
      </c>
      <c r="G56" s="11" t="n">
        <v>13712.19</v>
      </c>
      <c r="H56" s="11" t="n">
        <v>12552.88</v>
      </c>
      <c r="I56" s="11" t="n">
        <v>9792.93</v>
      </c>
      <c r="J56" s="11" t="n">
        <v>9616.47</v>
      </c>
      <c r="K56" s="11" t="n">
        <v>12542.61</v>
      </c>
      <c r="L56" s="12" t="n">
        <f aca="false">Financials!L5*Assumptions!L20</f>
        <v>13186.5050625</v>
      </c>
      <c r="M56" s="12" t="n">
        <f aca="false">Financials!M5*Assumptions!M20</f>
        <v>13977.69536625</v>
      </c>
      <c r="N56" s="12" t="n">
        <f aca="false">Financials!N5*Assumptions!N20</f>
        <v>14956.1340418875</v>
      </c>
      <c r="O56" s="12" t="n">
        <f aca="false">Financials!O5*Assumptions!O20</f>
        <v>16003.0634248196</v>
      </c>
      <c r="P56" s="12" t="n">
        <f aca="false">Financials!P5*Assumptions!P20</f>
        <v>17123.277864557</v>
      </c>
    </row>
    <row r="57" customFormat="false" ht="15" hidden="false" customHeight="false" outlineLevel="0" collapsed="false">
      <c r="A57" s="8" t="s">
        <v>55</v>
      </c>
      <c r="B57" s="11" t="n">
        <v>1651.9</v>
      </c>
      <c r="C57" s="11" t="n">
        <v>2342.56</v>
      </c>
      <c r="D57" s="11" t="n">
        <v>2668.82</v>
      </c>
      <c r="E57" s="11" t="n">
        <v>2562.37</v>
      </c>
      <c r="F57" s="11" t="n">
        <v>1757.04</v>
      </c>
      <c r="G57" s="11" t="n">
        <v>6788.28</v>
      </c>
      <c r="H57" s="11" t="n">
        <v>6918.05</v>
      </c>
      <c r="I57" s="11" t="n">
        <v>9486.86</v>
      </c>
      <c r="J57" s="11" t="n">
        <v>10287.39</v>
      </c>
      <c r="K57" s="11" t="n">
        <v>18712.98</v>
      </c>
      <c r="L57" s="12" t="n">
        <f aca="false">Financials!L5*Assumptions!L21</f>
        <v>19621.519533</v>
      </c>
      <c r="M57" s="12" t="n">
        <f aca="false">Financials!M5*Assumptions!M21</f>
        <v>20798.81070498</v>
      </c>
      <c r="N57" s="12" t="n">
        <f aca="false">Financials!N5*Assumptions!N21</f>
        <v>22254.7274543286</v>
      </c>
      <c r="O57" s="12" t="n">
        <f aca="false">Financials!O5*Assumptions!O21</f>
        <v>23812.5583761316</v>
      </c>
      <c r="P57" s="12" t="n">
        <f aca="false">Financials!P5*Assumptions!P21</f>
        <v>25479.4374624608</v>
      </c>
    </row>
    <row r="58" customFormat="false" ht="15" hidden="false" customHeight="false" outlineLevel="0" collapsed="false">
      <c r="A58" s="8" t="s">
        <v>56</v>
      </c>
      <c r="B58" s="11" t="n">
        <v>1715.09</v>
      </c>
      <c r="C58" s="11" t="n">
        <v>1884.25</v>
      </c>
      <c r="D58" s="11" t="n">
        <v>1709.28</v>
      </c>
      <c r="E58" s="11" t="n">
        <v>3376.68</v>
      </c>
      <c r="F58" s="11" t="n">
        <v>1810.82</v>
      </c>
      <c r="G58" s="11" t="n">
        <v>3915.86</v>
      </c>
      <c r="H58" s="11" t="n">
        <v>5373.69</v>
      </c>
      <c r="I58" s="11" t="n">
        <v>7068.48</v>
      </c>
      <c r="J58" s="11" t="n">
        <v>6962.46</v>
      </c>
      <c r="K58" s="11" t="n">
        <v>11809.42</v>
      </c>
      <c r="L58" s="12" t="n">
        <f aca="false">Financials!L100</f>
        <v>22224.5029830545</v>
      </c>
      <c r="M58" s="12" t="n">
        <f aca="false">Financials!M100</f>
        <v>31165.5047697958</v>
      </c>
      <c r="N58" s="12" t="n">
        <f aca="false">Financials!N100</f>
        <v>33448.8035509182</v>
      </c>
      <c r="O58" s="12" t="n">
        <f aca="false">Financials!O100</f>
        <v>29250.0742124182</v>
      </c>
      <c r="P58" s="12" t="n">
        <f aca="false">Financials!P100</f>
        <v>18748.5776973255</v>
      </c>
    </row>
    <row r="59" customFormat="false" ht="15" hidden="false" customHeight="false" outlineLevel="0" collapsed="false">
      <c r="A59" s="8" t="s">
        <v>57</v>
      </c>
      <c r="B59" s="11" t="n">
        <v>9061.51</v>
      </c>
      <c r="C59" s="11" t="n">
        <v>22537.98</v>
      </c>
      <c r="D59" s="11" t="n">
        <v>7554.67</v>
      </c>
      <c r="E59" s="11" t="n">
        <v>8013.8</v>
      </c>
      <c r="F59" s="11" t="n">
        <v>10900.2</v>
      </c>
      <c r="G59" s="11" t="n">
        <v>19210.63</v>
      </c>
      <c r="H59" s="11" t="n">
        <v>29217.35</v>
      </c>
      <c r="I59" s="11" t="n">
        <v>24379.48</v>
      </c>
      <c r="J59" s="11" t="n">
        <v>32314</v>
      </c>
      <c r="K59" s="11" t="n">
        <v>41447.77</v>
      </c>
      <c r="L59" s="12" t="n">
        <f aca="false">Financials!L5*Assumptions!L22</f>
        <v>43568.2127265</v>
      </c>
      <c r="M59" s="12" t="n">
        <f aca="false">Financials!M5*Assumptions!M22</f>
        <v>46182.30549009</v>
      </c>
      <c r="N59" s="12" t="n">
        <f aca="false">Financials!N5*Assumptions!N22</f>
        <v>49415.0668743963</v>
      </c>
      <c r="O59" s="12" t="n">
        <f aca="false">Financials!O5*Assumptions!O22</f>
        <v>52874.1215556041</v>
      </c>
      <c r="P59" s="12" t="n">
        <f aca="false">Financials!P5*Assumptions!P22</f>
        <v>56575.3100644963</v>
      </c>
    </row>
    <row r="60" customFormat="false" ht="15" hidden="false" customHeight="false" outlineLevel="0" collapsed="false">
      <c r="A60" s="5" t="s">
        <v>58</v>
      </c>
      <c r="B60" s="15" t="n">
        <f aca="false">Financials!B53+Financials!B54+Financials!B55+Financials!B56+Financials!B57+Financials!B58+Financials!B59</f>
        <v>47611.47</v>
      </c>
      <c r="C60" s="15" t="n">
        <f aca="false">Financials!C53+Financials!C54+Financials!C55+Financials!C56+Financials!C57+Financials!C58+Financials!C59</f>
        <v>56405.34</v>
      </c>
      <c r="D60" s="15" t="n">
        <f aca="false">Financials!D53+Financials!D54+Financials!D55+Financials!D56+Financials!D57+Financials!D58+Financials!D59</f>
        <v>42536.18</v>
      </c>
      <c r="E60" s="15" t="n">
        <f aca="false">Financials!E53+Financials!E54+Financials!E55+Financials!E56+Financials!E57+Financials!E58+Financials!E59</f>
        <v>46875.06</v>
      </c>
      <c r="F60" s="15" t="n">
        <f aca="false">Financials!F53+Financials!F54+Financials!F55+Financials!F56+Financials!F57+Financials!F58+Financials!F59</f>
        <v>51616.72</v>
      </c>
      <c r="G60" s="15" t="n">
        <f aca="false">Financials!G53+Financials!G54+Financials!G55+Financials!G56+Financials!G57+Financials!G58+Financials!G59</f>
        <v>101586.36</v>
      </c>
      <c r="H60" s="15" t="n">
        <f aca="false">Financials!H53+Financials!H54+Financials!H55+Financials!H56+Financials!H57+Financials!H58+Financials!H59</f>
        <v>141278.48</v>
      </c>
      <c r="I60" s="15" t="n">
        <f aca="false">Financials!I53+Financials!I54+Financials!I55+Financials!I56+Financials!I57+Financials!I58+Financials!I59</f>
        <v>160586.24</v>
      </c>
      <c r="J60" s="15" t="n">
        <f aca="false">Financials!J53+Financials!J54+Financials!J55+Financials!J56+Financials!J57+Financials!J58+Financials!J59</f>
        <v>197842.88</v>
      </c>
      <c r="K60" s="15" t="n">
        <f aca="false">Financials!K53+Financials!K54+Financials!K55+Financials!K56+Financials!K57+Financials!K58+Financials!K59</f>
        <v>260868.38</v>
      </c>
      <c r="L60" s="16" t="n">
        <f aca="false">Financials!L53+Financials!L54+Financials!L55+Financials!L56+Financials!L57+Financials!L58+Financials!L59</f>
        <v>292230.619440055</v>
      </c>
      <c r="M60" s="16" t="n">
        <f aca="false">Financials!M53+Financials!M54+Financials!M55+Financials!M56+Financials!M57+Financials!M58+Financials!M59</f>
        <v>323246.187156951</v>
      </c>
      <c r="N60" s="16" t="n">
        <f aca="false">Financials!N53+Financials!N54+Financials!N55+Financials!N56+Financials!N57+Financials!N58+Financials!N59</f>
        <v>349263.6044459</v>
      </c>
      <c r="O60" s="16" t="n">
        <f aca="false">Financials!O53+Financials!O54+Financials!O55+Financials!O56+Financials!O57+Financials!O58+Financials!O59</f>
        <v>369862.257423557</v>
      </c>
      <c r="P60" s="16" t="n">
        <f aca="false">Financials!P53+Financials!P54+Financials!P55+Financials!P56+Financials!P57+Financials!P58+Financials!P59</f>
        <v>385343.087334025</v>
      </c>
    </row>
    <row r="61" customFormat="false" ht="15" hidden="false" customHeight="false" outlineLevel="0" collapsed="false">
      <c r="A61" s="5" t="s">
        <v>59</v>
      </c>
      <c r="B61" s="23" t="n">
        <f aca="false">ROUND(Financials!B60-Financials!B51,2)</f>
        <v>0</v>
      </c>
      <c r="C61" s="23" t="n">
        <f aca="false">ROUND(Financials!C60-Financials!C51,2)</f>
        <v>0</v>
      </c>
      <c r="D61" s="23" t="n">
        <f aca="false">ROUND(Financials!D60-Financials!D51,2)</f>
        <v>0</v>
      </c>
      <c r="E61" s="23" t="n">
        <f aca="false">ROUND(Financials!E60-Financials!E51,2)</f>
        <v>0</v>
      </c>
      <c r="F61" s="23" t="n">
        <f aca="false">ROUND(Financials!F60-Financials!F51,2)</f>
        <v>0</v>
      </c>
      <c r="G61" s="23" t="n">
        <f aca="false">ROUND(Financials!G60-Financials!G51,2)</f>
        <v>0</v>
      </c>
      <c r="H61" s="23" t="n">
        <f aca="false">ROUND(Financials!H60-Financials!H51,2)</f>
        <v>0</v>
      </c>
      <c r="I61" s="23" t="n">
        <f aca="false">ROUND(Financials!I60-Financials!I51,2)</f>
        <v>0</v>
      </c>
      <c r="J61" s="23" t="n">
        <f aca="false">ROUND(Financials!J60-Financials!J51,2)</f>
        <v>0</v>
      </c>
      <c r="K61" s="23" t="n">
        <f aca="false">ROUND(Financials!K60-Financials!K51,2)</f>
        <v>0</v>
      </c>
      <c r="L61" s="7" t="n">
        <f aca="false">ROUND(Financials!L60-Financials!L51,2)</f>
        <v>0</v>
      </c>
      <c r="M61" s="7" t="n">
        <f aca="false">ROUND(Financials!M60-Financials!M51,2)</f>
        <v>0</v>
      </c>
      <c r="N61" s="7" t="n">
        <f aca="false">ROUND(Financials!N60-Financials!N51,2)</f>
        <v>0</v>
      </c>
      <c r="O61" s="7" t="n">
        <f aca="false">ROUND(Financials!O60-Financials!O51,2)</f>
        <v>0</v>
      </c>
      <c r="P61" s="7" t="n">
        <f aca="false">ROUND(Financials!P60-Financials!P51,2)</f>
        <v>0</v>
      </c>
    </row>
    <row r="63" customFormat="false" ht="15" hidden="false" customHeight="false" outlineLevel="0" collapsed="false">
      <c r="A63" s="8" t="s">
        <v>60</v>
      </c>
      <c r="B63" s="14" t="n">
        <f aca="false">Financials!B49-Financials!B58</f>
        <v>19130.63</v>
      </c>
      <c r="C63" s="14" t="n">
        <f aca="false">Financials!C49-Financials!C58</f>
        <v>15752.44</v>
      </c>
      <c r="D63" s="14" t="n">
        <f aca="false">Financials!D49-Financials!D58</f>
        <v>9533.92</v>
      </c>
      <c r="E63" s="14" t="n">
        <f aca="false">Financials!E49-Financials!E58</f>
        <v>9042.62</v>
      </c>
      <c r="F63" s="14" t="n">
        <f aca="false">Financials!F49-Financials!F58</f>
        <v>14416.24</v>
      </c>
      <c r="G63" s="14" t="n">
        <f aca="false">Financials!G49-Financials!G58</f>
        <v>37688.17</v>
      </c>
      <c r="H63" s="14" t="n">
        <f aca="false">Financials!H49-Financials!H58</f>
        <v>47826.77</v>
      </c>
      <c r="I63" s="14" t="n">
        <f aca="false">Financials!I49-Financials!I58</f>
        <v>58241.67</v>
      </c>
      <c r="J63" s="14" t="n">
        <f aca="false">Financials!J49-Financials!J58</f>
        <v>84510.14</v>
      </c>
      <c r="K63" s="14" t="n">
        <f aca="false">Financials!K49-Financials!K58</f>
        <v>94812.37</v>
      </c>
      <c r="L63" s="12" t="n">
        <f aca="false">Financials!L49-Financials!L58</f>
        <v>109397.287016945</v>
      </c>
      <c r="M63" s="12" t="n">
        <f aca="false">Financials!M49-Financials!M58</f>
        <v>125456.285230204</v>
      </c>
      <c r="N63" s="12" t="n">
        <f aca="false">Financials!N49-Financials!N58</f>
        <v>143172.986449082</v>
      </c>
      <c r="O63" s="12" t="n">
        <f aca="false">Financials!O49-Financials!O58</f>
        <v>162371.715787582</v>
      </c>
      <c r="P63" s="12" t="n">
        <f aca="false">Financials!P49-Financials!P58</f>
        <v>182873.212302674</v>
      </c>
    </row>
    <row r="64" customFormat="false" ht="15" hidden="false" customHeight="false" outlineLevel="0" collapsed="false">
      <c r="A64" s="8" t="s">
        <v>61</v>
      </c>
      <c r="B64" s="24" t="n">
        <f aca="false">Financials!B63/Financials!B15</f>
        <v>10.056948949391</v>
      </c>
      <c r="C64" s="24" t="n">
        <f aca="false">Financials!C63/Financials!C15</f>
        <v>7.73046213641787</v>
      </c>
      <c r="D64" s="24" t="n">
        <f aca="false">Financials!D63/Financials!D15</f>
        <v>4.84117521606223</v>
      </c>
      <c r="E64" s="24" t="n">
        <f aca="false">Financials!E63/Financials!E15</f>
        <v>3.94118698216082</v>
      </c>
      <c r="F64" s="24" t="n">
        <f aca="false">Financials!F63/Financials!F15</f>
        <v>5.7534931055814</v>
      </c>
      <c r="G64" s="24" t="n">
        <f aca="false">Financials!G63/Financials!G15</f>
        <v>10.14868860405</v>
      </c>
      <c r="H64" s="24" t="n">
        <f aca="false">Financials!H63/Financials!H15</f>
        <v>5.42395684130424</v>
      </c>
      <c r="I64" s="24" t="n">
        <f aca="false">Financials!I63/Financials!I15</f>
        <v>5.11942671800011</v>
      </c>
      <c r="J64" s="24" t="n">
        <f aca="false">Financials!J63/Financials!J15</f>
        <v>5.92969141939779</v>
      </c>
      <c r="K64" s="24" t="n">
        <f aca="false">Financials!K63/Financials!K15</f>
        <v>6.77677513333781</v>
      </c>
      <c r="L64" s="25" t="n">
        <f aca="false">Financials!L63/Financials!L15</f>
        <v>7.46057084608699</v>
      </c>
      <c r="M64" s="25" t="n">
        <f aca="false">Financials!M63/Financials!M15</f>
        <v>8.0714593808709</v>
      </c>
      <c r="N64" s="25" t="n">
        <f aca="false">Financials!N63/Financials!N15</f>
        <v>8.60868759901809</v>
      </c>
      <c r="O64" s="25" t="n">
        <f aca="false">Financials!O63/Financials!O15</f>
        <v>9.12436113940163</v>
      </c>
      <c r="P64" s="25" t="n">
        <f aca="false">Financials!P63/Financials!P15</f>
        <v>9.60413823282739</v>
      </c>
    </row>
    <row r="83" customFormat="false" ht="15" hidden="false" customHeight="false" outlineLevel="0" collapsed="false">
      <c r="A83" s="22" t="s">
        <v>62</v>
      </c>
      <c r="B83" s="4" t="s">
        <v>3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4" t="s">
        <v>12</v>
      </c>
      <c r="L83" s="4" t="s">
        <v>13</v>
      </c>
      <c r="M83" s="4" t="s">
        <v>14</v>
      </c>
      <c r="N83" s="4" t="s">
        <v>15</v>
      </c>
      <c r="O83" s="4" t="s">
        <v>16</v>
      </c>
      <c r="P83" s="4" t="s">
        <v>17</v>
      </c>
    </row>
    <row r="85" customFormat="false" ht="15" hidden="false" customHeight="false" outlineLevel="0" collapsed="false">
      <c r="A85" s="8" t="s">
        <v>37</v>
      </c>
      <c r="L85" s="12" t="n">
        <f aca="false">Financials!L24</f>
        <v>2726.1964180665</v>
      </c>
      <c r="M85" s="12" t="n">
        <f aca="false">Financials!M24</f>
        <v>1422.41199807929</v>
      </c>
      <c r="N85" s="12" t="n">
        <f aca="false">Financials!N24</f>
        <v>309.292394748635</v>
      </c>
      <c r="O85" s="12" t="n">
        <f aca="false">Financials!O24</f>
        <v>-525.536450707176</v>
      </c>
      <c r="P85" s="12" t="n">
        <f aca="false">Financials!P24</f>
        <v>-1082.06295001545</v>
      </c>
    </row>
    <row r="86" customFormat="false" ht="15" hidden="false" customHeight="false" outlineLevel="0" collapsed="false">
      <c r="A86" s="8" t="s">
        <v>63</v>
      </c>
      <c r="L86" s="12" t="n">
        <f aca="false">Financials!L18</f>
        <v>9098.73099</v>
      </c>
      <c r="M86" s="12" t="n">
        <f aca="false">Financials!M18</f>
        <v>10463.399041665</v>
      </c>
      <c r="N86" s="12" t="n">
        <f aca="false">Financials!N18</f>
        <v>11845.266385241</v>
      </c>
      <c r="O86" s="12" t="n">
        <f aca="false">Financials!O18</f>
        <v>13272.5595194252</v>
      </c>
      <c r="P86" s="12" t="n">
        <f aca="false">Financials!P18</f>
        <v>14752.5113385121</v>
      </c>
    </row>
    <row r="87" customFormat="false" ht="15" hidden="false" customHeight="false" outlineLevel="0" collapsed="false">
      <c r="A87" s="8" t="s">
        <v>64</v>
      </c>
      <c r="L87" s="12" t="n">
        <f aca="false">-(Financials!L56-Financials!K56)</f>
        <v>-643.8950625</v>
      </c>
      <c r="M87" s="12" t="n">
        <f aca="false">-(Financials!M56-Financials!L56)</f>
        <v>-791.190303750002</v>
      </c>
      <c r="N87" s="12" t="n">
        <f aca="false">-(Financials!N56-Financials!M56)</f>
        <v>-978.438675637501</v>
      </c>
      <c r="O87" s="12" t="n">
        <f aca="false">-(Financials!O56-Financials!N56)</f>
        <v>-1046.92938293213</v>
      </c>
      <c r="P87" s="12" t="n">
        <f aca="false">-(Financials!P56-Financials!O56)</f>
        <v>-1120.21443973737</v>
      </c>
    </row>
    <row r="88" customFormat="false" ht="15" hidden="false" customHeight="false" outlineLevel="0" collapsed="false">
      <c r="A88" s="8" t="s">
        <v>65</v>
      </c>
      <c r="L88" s="12" t="n">
        <f aca="false">-(Financials!L57-Financials!K57)</f>
        <v>-908.539532999999</v>
      </c>
      <c r="M88" s="12" t="n">
        <f aca="false">-(Financials!M57-Financials!L57)</f>
        <v>-1177.29117198</v>
      </c>
      <c r="N88" s="12" t="n">
        <f aca="false">-(Financials!N57-Financials!M57)</f>
        <v>-1455.9167493486</v>
      </c>
      <c r="O88" s="12" t="n">
        <f aca="false">-(Financials!O57-Financials!N57)</f>
        <v>-1557.830921803</v>
      </c>
      <c r="P88" s="12" t="n">
        <f aca="false">-(Financials!P57-Financials!O57)</f>
        <v>-1666.87908632921</v>
      </c>
    </row>
    <row r="89" customFormat="false" ht="15" hidden="false" customHeight="false" outlineLevel="0" collapsed="false">
      <c r="A89" s="8" t="s">
        <v>66</v>
      </c>
      <c r="L89" s="12" t="n">
        <f aca="false">-(Financials!L59-Financials!K59)</f>
        <v>-2120.44272650001</v>
      </c>
      <c r="M89" s="12" t="n">
        <f aca="false">-(Financials!M59-Financials!L59)</f>
        <v>-2614.09276359</v>
      </c>
      <c r="N89" s="12" t="n">
        <f aca="false">-(Financials!N59-Financials!M59)</f>
        <v>-3232.7613843063</v>
      </c>
      <c r="O89" s="12" t="n">
        <f aca="false">-(Financials!O59-Financials!N59)</f>
        <v>-3459.05468120775</v>
      </c>
      <c r="P89" s="12" t="n">
        <f aca="false">-(Financials!P59-Financials!O59)</f>
        <v>-3701.18850889228</v>
      </c>
    </row>
    <row r="90" customFormat="false" ht="15" hidden="false" customHeight="false" outlineLevel="0" collapsed="false">
      <c r="A90" s="8" t="s">
        <v>67</v>
      </c>
      <c r="L90" s="12" t="n">
        <f aca="false">Financials!L50-Financials!K50</f>
        <v>3688.54956499999</v>
      </c>
      <c r="M90" s="12" t="n">
        <f aca="false">Financials!M50-Financials!L50</f>
        <v>4620.55137390002</v>
      </c>
      <c r="N90" s="12" t="n">
        <f aca="false">Financials!N50-Financials!M50</f>
        <v>5714.081865723</v>
      </c>
      <c r="O90" s="12" t="n">
        <f aca="false">Financials!O50-Financials!N50</f>
        <v>6114.06759632363</v>
      </c>
      <c r="P90" s="12" t="n">
        <f aca="false">Financials!P50-Financials!O50</f>
        <v>6542.05232806626</v>
      </c>
    </row>
    <row r="91" customFormat="false" ht="15" hidden="false" customHeight="false" outlineLevel="0" collapsed="false">
      <c r="A91" s="5" t="s">
        <v>68</v>
      </c>
      <c r="B91" s="17" t="n">
        <v>774.07</v>
      </c>
      <c r="C91" s="17" t="n">
        <v>2942.39</v>
      </c>
      <c r="D91" s="17" t="n">
        <v>3235.92</v>
      </c>
      <c r="E91" s="17" t="n">
        <v>2453.56</v>
      </c>
      <c r="F91" s="17" t="n">
        <v>4043.31</v>
      </c>
      <c r="G91" s="17" t="n">
        <v>1385.28</v>
      </c>
      <c r="H91" s="17" t="n">
        <v>17626.46</v>
      </c>
      <c r="I91" s="17" t="n">
        <v>10312.19</v>
      </c>
      <c r="J91" s="17" t="n">
        <v>4513.1</v>
      </c>
      <c r="K91" s="17" t="n">
        <v>2356.91</v>
      </c>
      <c r="L91" s="16" t="n">
        <f aca="false">SUM(Financials!L85:L90)</f>
        <v>11840.5996510665</v>
      </c>
      <c r="M91" s="16" t="n">
        <f aca="false">SUM(Financials!M85:M90)</f>
        <v>11923.7881743243</v>
      </c>
      <c r="N91" s="16" t="n">
        <f aca="false">SUM(Financials!N85:N90)</f>
        <v>12201.5238364202</v>
      </c>
      <c r="O91" s="16" t="n">
        <f aca="false">SUM(Financials!O85:O90)</f>
        <v>12797.2756790987</v>
      </c>
      <c r="P91" s="16" t="n">
        <f aca="false">SUM(Financials!P85:P90)</f>
        <v>13724.218681604</v>
      </c>
    </row>
    <row r="92" customFormat="false" ht="15" hidden="false" customHeight="false" outlineLevel="0" collapsed="false">
      <c r="A92" s="8" t="s">
        <v>69</v>
      </c>
      <c r="C92" s="14" t="n">
        <f aca="false">-(Financials!C53-Financials!B53+Financials!C18)</f>
        <v>2448.87</v>
      </c>
      <c r="D92" s="14" t="n">
        <f aca="false">-(Financials!D53-Financials!C53+Financials!D18)</f>
        <v>1145.31</v>
      </c>
      <c r="E92" s="14" t="n">
        <f aca="false">-(Financials!E53-Financials!D53+Financials!E18)</f>
        <v>-1928.41</v>
      </c>
      <c r="F92" s="14" t="n">
        <f aca="false">-(Financials!F53-Financials!E53+Financials!F18)</f>
        <v>-898.290000000001</v>
      </c>
      <c r="G92" s="14" t="n">
        <f aca="false">-(Financials!G53-Financials!F53+Financials!G18)</f>
        <v>-20532.94</v>
      </c>
      <c r="H92" s="14" t="n">
        <f aca="false">-(Financials!H53-Financials!G53+Financials!H18)</f>
        <v>-29194.5</v>
      </c>
      <c r="I92" s="14" t="n">
        <f aca="false">-(Financials!I53-Financials!H53+Financials!I18)</f>
        <v>-12139.32</v>
      </c>
      <c r="J92" s="14" t="n">
        <f aca="false">-(Financials!J53-Financials!I53+Financials!J18)</f>
        <v>-15493.17</v>
      </c>
      <c r="K92" s="14" t="n">
        <f aca="false">-(Financials!K53-Financials!J53+Financials!K18)</f>
        <v>-44049.01</v>
      </c>
      <c r="L92" s="12" t="n">
        <f aca="false">-Financials!L5*Assumptions!L18</f>
        <v>-26373.010125</v>
      </c>
      <c r="M92" s="12" t="n">
        <f aca="false">-Financials!M5*Assumptions!M18</f>
        <v>-27955.3907325</v>
      </c>
      <c r="N92" s="12" t="n">
        <f aca="false">-Financials!N5*Assumptions!N18</f>
        <v>-29912.268083775</v>
      </c>
      <c r="O92" s="12" t="n">
        <f aca="false">-Financials!O5*Assumptions!O18</f>
        <v>-32006.1268496393</v>
      </c>
      <c r="P92" s="12" t="n">
        <f aca="false">-Financials!P5*Assumptions!P18</f>
        <v>-34246.555729114</v>
      </c>
    </row>
    <row r="93" customFormat="false" ht="15" hidden="false" customHeight="false" outlineLevel="0" collapsed="false">
      <c r="A93" s="8" t="s">
        <v>70</v>
      </c>
      <c r="L93" s="12" t="n">
        <f aca="false">-((Financials!L54-Financials!K54)+(Financials!L55-Financials!K55))</f>
        <v>-0</v>
      </c>
      <c r="M93" s="12" t="n">
        <f aca="false">-((Financials!M54-Financials!L54)+(Financials!M55-Financials!L55))</f>
        <v>-0</v>
      </c>
      <c r="N93" s="12" t="n">
        <f aca="false">-((Financials!N54-Financials!M54)+(Financials!N55-Financials!M55))</f>
        <v>-0</v>
      </c>
      <c r="O93" s="12" t="n">
        <f aca="false">-((Financials!O54-Financials!N54)+(Financials!O55-Financials!N55))</f>
        <v>-0</v>
      </c>
      <c r="P93" s="12" t="n">
        <f aca="false">-((Financials!P54-Financials!O54)+(Financials!P55-Financials!O55))</f>
        <v>-0</v>
      </c>
    </row>
    <row r="94" customFormat="false" ht="15" hidden="false" customHeight="false" outlineLevel="0" collapsed="false">
      <c r="A94" s="5" t="s">
        <v>71</v>
      </c>
      <c r="B94" s="17" t="n">
        <v>-1459.77</v>
      </c>
      <c r="C94" s="17" t="n">
        <v>-7648.85</v>
      </c>
      <c r="D94" s="17" t="n">
        <v>2486.91</v>
      </c>
      <c r="E94" s="17" t="n">
        <v>-1081.85</v>
      </c>
      <c r="F94" s="17" t="n">
        <v>-8610.66</v>
      </c>
      <c r="G94" s="17" t="n">
        <v>-17040.62</v>
      </c>
      <c r="H94" s="17" t="n">
        <v>-15458.84</v>
      </c>
      <c r="I94" s="17" t="n">
        <v>-18766.65</v>
      </c>
      <c r="J94" s="17" t="n">
        <v>-26417.33</v>
      </c>
      <c r="K94" s="17" t="n">
        <v>-27680.49</v>
      </c>
      <c r="L94" s="16" t="n">
        <f aca="false">Financials!L92+Financials!L93</f>
        <v>-26373.010125</v>
      </c>
      <c r="M94" s="16" t="n">
        <f aca="false">Financials!M92+Financials!M93</f>
        <v>-27955.3907325</v>
      </c>
      <c r="N94" s="16" t="n">
        <f aca="false">Financials!N92+Financials!N93</f>
        <v>-29912.268083775</v>
      </c>
      <c r="O94" s="16" t="n">
        <f aca="false">Financials!O92+Financials!O93</f>
        <v>-32006.1268496393</v>
      </c>
      <c r="P94" s="16" t="n">
        <f aca="false">Financials!P92+Financials!P93</f>
        <v>-34246.555729114</v>
      </c>
    </row>
    <row r="95" customFormat="false" ht="15" hidden="false" customHeight="false" outlineLevel="0" collapsed="false">
      <c r="A95" s="8" t="s">
        <v>72</v>
      </c>
      <c r="L95" s="12" t="n">
        <f aca="false">Assumptions!L19</f>
        <v>25000</v>
      </c>
      <c r="M95" s="12" t="n">
        <f aca="false">Assumptions!M19</f>
        <v>25000</v>
      </c>
      <c r="N95" s="12" t="n">
        <f aca="false">Assumptions!N19</f>
        <v>20000</v>
      </c>
      <c r="O95" s="12" t="n">
        <f aca="false">Assumptions!O19</f>
        <v>15000</v>
      </c>
      <c r="P95" s="12" t="n">
        <f aca="false">Assumptions!P19</f>
        <v>10000</v>
      </c>
    </row>
    <row r="96" customFormat="false" ht="15" hidden="false" customHeight="false" outlineLevel="0" collapsed="false">
      <c r="A96" s="8" t="s">
        <v>73</v>
      </c>
      <c r="L96" s="12" t="n">
        <f aca="false">-Financials!L27</f>
        <v>-52.5065430119608</v>
      </c>
      <c r="M96" s="12" t="n">
        <f aca="false">-Financials!M27</f>
        <v>-27.3956550830071</v>
      </c>
      <c r="N96" s="12" t="n">
        <f aca="false">-Financials!N27</f>
        <v>-5.9569715228587</v>
      </c>
      <c r="O96" s="12" t="n">
        <f aca="false">-Financials!O27</f>
        <v>10.1218320406202</v>
      </c>
      <c r="P96" s="12" t="n">
        <f aca="false">-Financials!P27</f>
        <v>20.8405324172976</v>
      </c>
    </row>
    <row r="97" customFormat="false" ht="15" hidden="false" customHeight="false" outlineLevel="0" collapsed="false">
      <c r="A97" s="5" t="s">
        <v>74</v>
      </c>
      <c r="B97" s="17" t="n">
        <v>715.82</v>
      </c>
      <c r="C97" s="17" t="n">
        <v>5119.57</v>
      </c>
      <c r="D97" s="17" t="n">
        <v>-6158.41</v>
      </c>
      <c r="E97" s="17" t="n">
        <v>-220.9</v>
      </c>
      <c r="F97" s="17" t="n">
        <v>3108.81</v>
      </c>
      <c r="G97" s="17" t="n">
        <v>15901.42</v>
      </c>
      <c r="H97" s="17" t="n">
        <v>-1197.52</v>
      </c>
      <c r="I97" s="17" t="n">
        <v>8878.68</v>
      </c>
      <c r="J97" s="17" t="n">
        <v>22655.34</v>
      </c>
      <c r="K97" s="17" t="n">
        <v>28484.47</v>
      </c>
      <c r="L97" s="16" t="n">
        <f aca="false">Financials!L95+Financials!L96</f>
        <v>24947.493456988</v>
      </c>
      <c r="M97" s="16" t="n">
        <f aca="false">Financials!M95+Financials!M96</f>
        <v>24972.604344917</v>
      </c>
      <c r="N97" s="16" t="n">
        <f aca="false">Financials!N95+Financials!N96</f>
        <v>19994.0430284771</v>
      </c>
      <c r="O97" s="16" t="n">
        <f aca="false">Financials!O95+Financials!O96</f>
        <v>15010.1218320406</v>
      </c>
      <c r="P97" s="16" t="n">
        <f aca="false">Financials!P95+Financials!P96</f>
        <v>10020.8405324173</v>
      </c>
    </row>
    <row r="98" customFormat="false" ht="15" hidden="false" customHeight="false" outlineLevel="0" collapsed="false">
      <c r="A98" s="5" t="s">
        <v>75</v>
      </c>
      <c r="B98" s="17" t="n">
        <v>30.12</v>
      </c>
      <c r="C98" s="17" t="n">
        <v>413.11</v>
      </c>
      <c r="D98" s="17" t="n">
        <v>-435.58</v>
      </c>
      <c r="E98" s="17" t="n">
        <v>1150.81</v>
      </c>
      <c r="F98" s="17" t="n">
        <v>-1458.54</v>
      </c>
      <c r="G98" s="17" t="n">
        <v>246.08</v>
      </c>
      <c r="H98" s="17" t="n">
        <v>970.1</v>
      </c>
      <c r="I98" s="17" t="n">
        <v>424.22</v>
      </c>
      <c r="J98" s="17" t="n">
        <v>751.11</v>
      </c>
      <c r="K98" s="17" t="n">
        <v>3160.89</v>
      </c>
      <c r="L98" s="16" t="n">
        <f aca="false">Financials!L91+Financials!L94+Financials!L97</f>
        <v>10415.0829830545</v>
      </c>
      <c r="M98" s="16" t="n">
        <f aca="false">Financials!M91+Financials!M94+Financials!M97</f>
        <v>8941.00178674129</v>
      </c>
      <c r="N98" s="16" t="n">
        <f aca="false">Financials!N91+Financials!N94+Financials!N97</f>
        <v>2283.29878112233</v>
      </c>
      <c r="O98" s="16" t="n">
        <f aca="false">Financials!O91+Financials!O94+Financials!O97</f>
        <v>-4198.72933849991</v>
      </c>
      <c r="P98" s="16" t="n">
        <f aca="false">Financials!P91+Financials!P94+Financials!P97</f>
        <v>-10501.4965150927</v>
      </c>
    </row>
    <row r="99" customFormat="false" ht="15" hidden="false" customHeight="false" outlineLevel="0" collapsed="false">
      <c r="A99" s="8" t="s">
        <v>76</v>
      </c>
      <c r="C99" s="14" t="n">
        <f aca="false">Financials!B58</f>
        <v>1715.09</v>
      </c>
      <c r="D99" s="14" t="n">
        <f aca="false">Financials!C58</f>
        <v>1884.25</v>
      </c>
      <c r="E99" s="14" t="n">
        <f aca="false">Financials!D58</f>
        <v>1709.28</v>
      </c>
      <c r="F99" s="14" t="n">
        <f aca="false">Financials!E58</f>
        <v>3376.68</v>
      </c>
      <c r="G99" s="14" t="n">
        <f aca="false">Financials!F58</f>
        <v>1810.82</v>
      </c>
      <c r="H99" s="14" t="n">
        <f aca="false">Financials!G58</f>
        <v>3915.86</v>
      </c>
      <c r="I99" s="14" t="n">
        <f aca="false">Financials!H58</f>
        <v>5373.69</v>
      </c>
      <c r="J99" s="14" t="n">
        <f aca="false">Financials!I58</f>
        <v>7068.48</v>
      </c>
      <c r="K99" s="14" t="n">
        <f aca="false">Financials!J58</f>
        <v>6962.46</v>
      </c>
      <c r="L99" s="12" t="n">
        <f aca="false">Financials!K58</f>
        <v>11809.42</v>
      </c>
      <c r="M99" s="12" t="n">
        <f aca="false">Financials!L58</f>
        <v>22224.5029830545</v>
      </c>
      <c r="N99" s="12" t="n">
        <f aca="false">Financials!M58</f>
        <v>31165.5047697958</v>
      </c>
      <c r="O99" s="12" t="n">
        <f aca="false">Financials!N58</f>
        <v>33448.8035509182</v>
      </c>
      <c r="P99" s="12" t="n">
        <f aca="false">Financials!O58</f>
        <v>29250.0742124182</v>
      </c>
    </row>
    <row r="100" customFormat="false" ht="15" hidden="false" customHeight="false" outlineLevel="0" collapsed="false">
      <c r="A100" s="5" t="s">
        <v>77</v>
      </c>
      <c r="B100" s="23" t="n">
        <f aca="false">Financials!B58</f>
        <v>1715.09</v>
      </c>
      <c r="C100" s="23" t="n">
        <f aca="false">Financials!C58</f>
        <v>1884.25</v>
      </c>
      <c r="D100" s="23" t="n">
        <f aca="false">Financials!D58</f>
        <v>1709.28</v>
      </c>
      <c r="E100" s="23" t="n">
        <f aca="false">Financials!E58</f>
        <v>3376.68</v>
      </c>
      <c r="F100" s="23" t="n">
        <f aca="false">Financials!F58</f>
        <v>1810.82</v>
      </c>
      <c r="G100" s="23" t="n">
        <f aca="false">Financials!G58</f>
        <v>3915.86</v>
      </c>
      <c r="H100" s="23" t="n">
        <f aca="false">Financials!H58</f>
        <v>5373.69</v>
      </c>
      <c r="I100" s="23" t="n">
        <f aca="false">Financials!I58</f>
        <v>7068.48</v>
      </c>
      <c r="J100" s="23" t="n">
        <f aca="false">Financials!J58</f>
        <v>6962.46</v>
      </c>
      <c r="K100" s="23" t="n">
        <f aca="false">Financials!K58</f>
        <v>11809.42</v>
      </c>
      <c r="L100" s="7" t="n">
        <f aca="false">Financials!L99+Financials!L98</f>
        <v>22224.5029830545</v>
      </c>
      <c r="M100" s="7" t="n">
        <f aca="false">Financials!M99+Financials!M98</f>
        <v>31165.5047697958</v>
      </c>
      <c r="N100" s="7" t="n">
        <f aca="false">Financials!N99+Financials!N98</f>
        <v>33448.8035509182</v>
      </c>
      <c r="O100" s="7" t="n">
        <f aca="false">Financials!O99+Financials!O98</f>
        <v>29250.0742124182</v>
      </c>
      <c r="P100" s="7" t="n">
        <f aca="false">Financials!P99+Financials!P98</f>
        <v>18748.5776973255</v>
      </c>
    </row>
    <row r="101" customFormat="false" ht="15" hidden="false" customHeight="false" outlineLevel="0" collapsed="false">
      <c r="A101" s="8" t="s">
        <v>78</v>
      </c>
      <c r="C101" s="14" t="n">
        <f aca="false">Financials!C91+Financials!C92</f>
        <v>5391.26</v>
      </c>
      <c r="D101" s="14" t="n">
        <f aca="false">Financials!D91+Financials!D92</f>
        <v>4381.23</v>
      </c>
      <c r="E101" s="14" t="n">
        <f aca="false">Financials!E91+Financials!E92</f>
        <v>525.150000000002</v>
      </c>
      <c r="F101" s="14" t="n">
        <f aca="false">Financials!F91+Financials!F92</f>
        <v>3145.02</v>
      </c>
      <c r="G101" s="14" t="n">
        <f aca="false">Financials!G91+Financials!G92</f>
        <v>-19147.66</v>
      </c>
      <c r="H101" s="14" t="n">
        <f aca="false">Financials!H91+Financials!H92</f>
        <v>-11568.04</v>
      </c>
      <c r="I101" s="14" t="n">
        <f aca="false">Financials!I91+Financials!I92</f>
        <v>-1827.13</v>
      </c>
      <c r="J101" s="14" t="n">
        <f aca="false">Financials!J91+Financials!J92</f>
        <v>-10980.07</v>
      </c>
      <c r="K101" s="14" t="n">
        <f aca="false">Financials!K91+Financials!K92</f>
        <v>-41692.1</v>
      </c>
      <c r="L101" s="12" t="n">
        <f aca="false">Financials!L91+Financials!L92</f>
        <v>-14532.4104739335</v>
      </c>
      <c r="M101" s="12" t="n">
        <f aca="false">Financials!M91+Financials!M92</f>
        <v>-16031.6025581757</v>
      </c>
      <c r="N101" s="12" t="n">
        <f aca="false">Financials!N91+Financials!N92</f>
        <v>-17710.7442473548</v>
      </c>
      <c r="O101" s="12" t="n">
        <f aca="false">Financials!O91+Financials!O92</f>
        <v>-19208.8511705405</v>
      </c>
      <c r="P101" s="12" t="n">
        <f aca="false">Financials!P91+Financials!P92</f>
        <v>-20522.33704751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6" min="2" style="0" width="12"/>
  </cols>
  <sheetData>
    <row r="1" customFormat="false" ht="16.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26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5" hidden="false" customHeight="false" outlineLevel="0" collapsed="false">
      <c r="A5" s="8" t="s">
        <v>81</v>
      </c>
      <c r="K5" s="9" t="n">
        <f aca="false">Financials!K6</f>
        <v>0.0262921147456836</v>
      </c>
      <c r="L5" s="27" t="n">
        <v>0.05</v>
      </c>
      <c r="M5" s="27" t="n">
        <v>0.06</v>
      </c>
      <c r="N5" s="27" t="n">
        <v>0.07</v>
      </c>
      <c r="O5" s="27" t="n">
        <v>0.07</v>
      </c>
      <c r="P5" s="27" t="n">
        <v>0.07</v>
      </c>
    </row>
    <row r="6" customFormat="false" ht="15" hidden="false" customHeight="false" outlineLevel="0" collapsed="false">
      <c r="A6" s="8" t="s">
        <v>82</v>
      </c>
      <c r="K6" s="9" t="n">
        <f aca="false">Financials!K7/Financials!K5</f>
        <v>0.566678587471251</v>
      </c>
      <c r="L6" s="27" t="n">
        <v>0.539</v>
      </c>
      <c r="M6" s="27" t="n">
        <v>0.539</v>
      </c>
      <c r="N6" s="27" t="n">
        <v>0.539</v>
      </c>
      <c r="O6" s="27" t="n">
        <v>0.539</v>
      </c>
      <c r="P6" s="27" t="n">
        <v>0.539</v>
      </c>
    </row>
    <row r="7" customFormat="false" ht="15" hidden="false" customHeight="false" outlineLevel="0" collapsed="false">
      <c r="A7" s="8" t="s">
        <v>83</v>
      </c>
      <c r="K7" s="9" t="n">
        <f aca="false">Financials!K9/Financials!K5</f>
        <v>0.0213270592675663</v>
      </c>
      <c r="L7" s="27" t="n">
        <v>0.021</v>
      </c>
      <c r="M7" s="27" t="n">
        <v>0.021</v>
      </c>
      <c r="N7" s="27" t="n">
        <v>0.021</v>
      </c>
      <c r="O7" s="27" t="n">
        <v>0.021</v>
      </c>
      <c r="P7" s="27" t="n">
        <v>0.021</v>
      </c>
    </row>
    <row r="8" customFormat="false" ht="15" hidden="false" customHeight="false" outlineLevel="0" collapsed="false">
      <c r="A8" s="8" t="s">
        <v>84</v>
      </c>
      <c r="K8" s="9" t="n">
        <f aca="false">Financials!K10/Financials!K5</f>
        <v>0.155373106087563</v>
      </c>
      <c r="L8" s="27" t="n">
        <v>0.156</v>
      </c>
      <c r="M8" s="27" t="n">
        <v>0.156</v>
      </c>
      <c r="N8" s="27" t="n">
        <v>0.156</v>
      </c>
      <c r="O8" s="27" t="n">
        <v>0.156</v>
      </c>
      <c r="P8" s="27" t="n">
        <v>0.156</v>
      </c>
    </row>
    <row r="9" customFormat="false" ht="15" hidden="false" customHeight="false" outlineLevel="0" collapsed="false">
      <c r="A9" s="8" t="s">
        <v>85</v>
      </c>
      <c r="K9" s="9" t="n">
        <f aca="false">Financials!K11/Financials!K5</f>
        <v>0.0364448159479861</v>
      </c>
      <c r="L9" s="27" t="n">
        <v>0.036</v>
      </c>
      <c r="M9" s="27" t="n">
        <v>0.036</v>
      </c>
      <c r="N9" s="27" t="n">
        <v>0.036</v>
      </c>
      <c r="O9" s="27" t="n">
        <v>0.036</v>
      </c>
      <c r="P9" s="27" t="n">
        <v>0.036</v>
      </c>
    </row>
    <row r="10" customFormat="false" ht="15" hidden="false" customHeight="false" outlineLevel="0" collapsed="false">
      <c r="A10" s="8" t="s">
        <v>86</v>
      </c>
      <c r="K10" s="9" t="n">
        <f aca="false">Financials!K12/Financials!K5</f>
        <v>0.0977145000811696</v>
      </c>
      <c r="L10" s="27" t="n">
        <v>0.098</v>
      </c>
      <c r="M10" s="27" t="n">
        <v>0.098</v>
      </c>
      <c r="N10" s="27" t="n">
        <v>0.098</v>
      </c>
      <c r="O10" s="27" t="n">
        <v>0.098</v>
      </c>
      <c r="P10" s="27" t="n">
        <v>0.098</v>
      </c>
    </row>
    <row r="11" customFormat="false" ht="15" hidden="false" customHeight="false" outlineLevel="0" collapsed="false">
      <c r="A11" s="8" t="s">
        <v>87</v>
      </c>
      <c r="K11" s="9" t="n">
        <f aca="false">Financials!K13/Financials!K5</f>
        <v>0.0113208493677777</v>
      </c>
      <c r="L11" s="27" t="n">
        <v>0.011</v>
      </c>
      <c r="M11" s="27" t="n">
        <v>0.011</v>
      </c>
      <c r="N11" s="27" t="n">
        <v>0.011</v>
      </c>
      <c r="O11" s="27" t="n">
        <v>0.011</v>
      </c>
      <c r="P11" s="27" t="n">
        <v>0.011</v>
      </c>
    </row>
    <row r="12" customFormat="false" ht="15" hidden="false" customHeight="false" outlineLevel="0" collapsed="false">
      <c r="A12" s="8" t="s">
        <v>88</v>
      </c>
      <c r="K12" s="9" t="n">
        <f aca="false">Financials!K17/Financials!K5</f>
        <v>0.116338227432429</v>
      </c>
      <c r="L12" s="27" t="n">
        <v>0.05</v>
      </c>
      <c r="M12" s="27" t="n">
        <v>0.05</v>
      </c>
      <c r="N12" s="27" t="n">
        <v>0.05</v>
      </c>
      <c r="O12" s="27" t="n">
        <v>0.05</v>
      </c>
      <c r="P12" s="27" t="n">
        <v>0.05</v>
      </c>
    </row>
    <row r="13" customFormat="false" ht="15" hidden="false" customHeight="false" outlineLevel="0" collapsed="false">
      <c r="A13" s="8" t="s">
        <v>89</v>
      </c>
      <c r="K13" s="9" t="n">
        <f aca="false">Financials!K18/Financials!J53</f>
        <v>0.0794114533056761</v>
      </c>
      <c r="L13" s="27" t="n">
        <v>0.079</v>
      </c>
      <c r="M13" s="27" t="n">
        <v>0.079</v>
      </c>
      <c r="N13" s="27" t="n">
        <v>0.079</v>
      </c>
      <c r="O13" s="27" t="n">
        <v>0.079</v>
      </c>
      <c r="P13" s="27" t="n">
        <v>0.079</v>
      </c>
    </row>
    <row r="14" customFormat="false" ht="15" hidden="false" customHeight="false" outlineLevel="0" collapsed="false">
      <c r="A14" s="8" t="s">
        <v>90</v>
      </c>
      <c r="K14" s="9" t="n">
        <f aca="false">Financials!K20/Financials!J49</f>
        <v>0.0658024370139255</v>
      </c>
      <c r="L14" s="27" t="n">
        <v>0.066</v>
      </c>
      <c r="M14" s="27" t="n">
        <v>0.066</v>
      </c>
      <c r="N14" s="27" t="n">
        <v>0.066</v>
      </c>
      <c r="O14" s="27" t="n">
        <v>0.066</v>
      </c>
      <c r="P14" s="27" t="n">
        <v>0.066</v>
      </c>
    </row>
    <row r="15" customFormat="false" ht="15" hidden="false" customHeight="false" outlineLevel="0" collapsed="false">
      <c r="A15" s="8" t="s">
        <v>91</v>
      </c>
      <c r="K15" s="9" t="n">
        <f aca="false">Financials!K23</f>
        <v>0.283271446380168</v>
      </c>
      <c r="L15" s="27" t="n">
        <v>0.283</v>
      </c>
      <c r="M15" s="27" t="n">
        <v>0.283</v>
      </c>
      <c r="N15" s="27" t="n">
        <v>0.283</v>
      </c>
      <c r="O15" s="27" t="n">
        <v>0.283</v>
      </c>
      <c r="P15" s="27" t="n">
        <v>0.283</v>
      </c>
    </row>
    <row r="16" customFormat="false" ht="15" hidden="false" customHeight="false" outlineLevel="0" collapsed="false">
      <c r="A16" s="8" t="s">
        <v>92</v>
      </c>
      <c r="K16" s="9" t="n">
        <f aca="false">Financials!K25/Financials!K24</f>
        <v>0.0365234058663994</v>
      </c>
      <c r="L16" s="27" t="n">
        <v>0.037</v>
      </c>
      <c r="M16" s="27" t="n">
        <v>0.037</v>
      </c>
      <c r="N16" s="27" t="n">
        <v>0.037</v>
      </c>
      <c r="O16" s="27" t="n">
        <v>0.037</v>
      </c>
      <c r="P16" s="27" t="n">
        <v>0.037</v>
      </c>
    </row>
    <row r="17" customFormat="false" ht="15" hidden="false" customHeight="false" outlineLevel="0" collapsed="false">
      <c r="A17" s="8" t="s">
        <v>93</v>
      </c>
      <c r="K17" s="9" t="n">
        <f aca="false">Financials!K27/Financials!K26</f>
        <v>0.0179892435009695</v>
      </c>
      <c r="L17" s="27" t="n">
        <v>0.02</v>
      </c>
      <c r="M17" s="27" t="n">
        <v>0.02</v>
      </c>
      <c r="N17" s="27" t="n">
        <v>0.02</v>
      </c>
      <c r="O17" s="27" t="n">
        <v>0.02</v>
      </c>
      <c r="P17" s="27" t="n">
        <v>0.02</v>
      </c>
    </row>
    <row r="18" customFormat="false" ht="15" hidden="false" customHeight="false" outlineLevel="0" collapsed="false">
      <c r="A18" s="8" t="s">
        <v>94</v>
      </c>
      <c r="K18" s="9" t="n">
        <f aca="false">(Financials!K53-Financials!J53+Financials!K18)/Financials!K5</f>
        <v>0.438435547182349</v>
      </c>
      <c r="L18" s="27" t="n">
        <v>0.25</v>
      </c>
      <c r="M18" s="27" t="n">
        <v>0.25</v>
      </c>
      <c r="N18" s="27" t="n">
        <v>0.25</v>
      </c>
      <c r="O18" s="27" t="n">
        <v>0.25</v>
      </c>
      <c r="P18" s="27" t="n">
        <v>0.25</v>
      </c>
    </row>
    <row r="19" customFormat="false" ht="15" hidden="false" customHeight="false" outlineLevel="0" collapsed="false">
      <c r="A19" s="8" t="s">
        <v>95</v>
      </c>
      <c r="L19" s="13" t="n">
        <v>25000</v>
      </c>
      <c r="M19" s="13" t="n">
        <v>25000</v>
      </c>
      <c r="N19" s="13" t="n">
        <v>20000</v>
      </c>
      <c r="O19" s="13" t="n">
        <v>15000</v>
      </c>
      <c r="P19" s="13" t="n">
        <v>10000</v>
      </c>
    </row>
    <row r="20" customFormat="false" ht="15" hidden="false" customHeight="false" outlineLevel="0" collapsed="false">
      <c r="A20" s="8" t="s">
        <v>96</v>
      </c>
      <c r="K20" s="9" t="n">
        <f aca="false">Financials!K56/Financials!K5</f>
        <v>0.124841082204681</v>
      </c>
      <c r="L20" s="27" t="n">
        <v>0.125</v>
      </c>
      <c r="M20" s="27" t="n">
        <v>0.125</v>
      </c>
      <c r="N20" s="27" t="n">
        <v>0.125</v>
      </c>
      <c r="O20" s="27" t="n">
        <v>0.125</v>
      </c>
      <c r="P20" s="27" t="n">
        <v>0.125</v>
      </c>
    </row>
    <row r="21" customFormat="false" ht="15" hidden="false" customHeight="false" outlineLevel="0" collapsed="false">
      <c r="A21" s="8" t="s">
        <v>97</v>
      </c>
      <c r="K21" s="9" t="n">
        <f aca="false">Financials!K57/Financials!K5</f>
        <v>0.186256981160583</v>
      </c>
      <c r="L21" s="27" t="n">
        <v>0.186</v>
      </c>
      <c r="M21" s="27" t="n">
        <v>0.186</v>
      </c>
      <c r="N21" s="27" t="n">
        <v>0.186</v>
      </c>
      <c r="O21" s="27" t="n">
        <v>0.186</v>
      </c>
      <c r="P21" s="27" t="n">
        <v>0.186</v>
      </c>
    </row>
    <row r="22" customFormat="false" ht="15" hidden="false" customHeight="false" outlineLevel="0" collapsed="false">
      <c r="A22" s="8" t="s">
        <v>98</v>
      </c>
      <c r="K22" s="9" t="n">
        <f aca="false">Financials!K59/Financials!K5</f>
        <v>0.412544475334137</v>
      </c>
      <c r="L22" s="27" t="n">
        <v>0.413</v>
      </c>
      <c r="M22" s="27" t="n">
        <v>0.413</v>
      </c>
      <c r="N22" s="27" t="n">
        <v>0.413</v>
      </c>
      <c r="O22" s="27" t="n">
        <v>0.413</v>
      </c>
      <c r="P22" s="27" t="n">
        <v>0.413</v>
      </c>
    </row>
    <row r="23" customFormat="false" ht="15" hidden="false" customHeight="false" outlineLevel="0" collapsed="false">
      <c r="A23" s="8" t="s">
        <v>99</v>
      </c>
      <c r="K23" s="9" t="n">
        <f aca="false">Financials!K50/Financials!K5</f>
        <v>0.729786547260881</v>
      </c>
      <c r="L23" s="27" t="n">
        <v>0.73</v>
      </c>
      <c r="M23" s="27" t="n">
        <v>0.73</v>
      </c>
      <c r="N23" s="27" t="n">
        <v>0.73</v>
      </c>
      <c r="O23" s="27" t="n">
        <v>0.73</v>
      </c>
      <c r="P23" s="27" t="n">
        <v>0.73</v>
      </c>
    </row>
    <row r="25" customFormat="false" ht="15" hidden="false" customHeight="false" outlineLevel="0" collapsed="false">
      <c r="A25" s="5" t="s">
        <v>100</v>
      </c>
    </row>
    <row r="26" customFormat="false" ht="15" hidden="false" customHeight="false" outlineLevel="0" collapsed="false">
      <c r="A26" s="28" t="s">
        <v>101</v>
      </c>
    </row>
    <row r="27" customFormat="false" ht="15" hidden="false" customHeight="false" outlineLevel="0" collapsed="false">
      <c r="A27" s="28" t="s">
        <v>102</v>
      </c>
    </row>
    <row r="28" customFormat="false" ht="15" hidden="false" customHeight="false" outlineLevel="0" collapsed="false">
      <c r="A28" s="28" t="s">
        <v>103</v>
      </c>
    </row>
    <row r="29" customFormat="false" ht="15" hidden="false" customHeight="false" outlineLevel="0" collapsed="false">
      <c r="A29" s="2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6.15" hidden="false" customHeight="false" outlineLevel="0" collapsed="false">
      <c r="B1" s="29" t="s">
        <v>105</v>
      </c>
    </row>
    <row r="2" customFormat="false" ht="15" hidden="false" customHeight="false" outlineLevel="0" collapsed="false">
      <c r="B2" s="30" t="s">
        <v>106</v>
      </c>
    </row>
    <row r="4" customFormat="false" ht="15" hidden="false" customHeight="false" outlineLevel="0" collapsed="false">
      <c r="B4" s="31" t="s">
        <v>107</v>
      </c>
      <c r="C4" s="32"/>
    </row>
    <row r="5" customFormat="false" ht="15" hidden="false" customHeight="false" outlineLevel="0" collapsed="false">
      <c r="B5" s="33" t="s">
        <v>108</v>
      </c>
      <c r="C5" s="34" t="n">
        <v>0.065</v>
      </c>
    </row>
    <row r="6" customFormat="false" ht="15" hidden="false" customHeight="false" outlineLevel="0" collapsed="false">
      <c r="B6" s="33" t="s">
        <v>109</v>
      </c>
      <c r="C6" s="34" t="n">
        <v>0.07</v>
      </c>
    </row>
    <row r="7" customFormat="false" ht="15" hidden="false" customHeight="false" outlineLevel="0" collapsed="false">
      <c r="B7" s="33" t="s">
        <v>110</v>
      </c>
      <c r="C7" s="35" t="n">
        <v>1.2</v>
      </c>
    </row>
    <row r="8" customFormat="false" ht="15" hidden="false" customHeight="false" outlineLevel="0" collapsed="false">
      <c r="B8" s="33" t="s">
        <v>111</v>
      </c>
      <c r="C8" s="36" t="n">
        <f aca="false">C5+C7*C6</f>
        <v>0.149</v>
      </c>
    </row>
    <row r="9" customFormat="false" ht="15" hidden="false" customHeight="false" outlineLevel="0" collapsed="false">
      <c r="B9" s="33" t="s">
        <v>112</v>
      </c>
      <c r="C9" s="36" t="n">
        <f aca="false">Assumptions!L14</f>
        <v>0.066</v>
      </c>
    </row>
    <row r="10" customFormat="false" ht="15" hidden="false" customHeight="false" outlineLevel="0" collapsed="false">
      <c r="B10" s="33" t="s">
        <v>113</v>
      </c>
      <c r="C10" s="36" t="n">
        <f aca="false">Assumptions!L15</f>
        <v>0.283</v>
      </c>
    </row>
    <row r="11" customFormat="false" ht="15" hidden="false" customHeight="false" outlineLevel="0" collapsed="false">
      <c r="B11" s="33" t="s">
        <v>114</v>
      </c>
      <c r="C11" s="36" t="n">
        <f aca="false">C9*(1-C10)</f>
        <v>0.047322</v>
      </c>
    </row>
    <row r="12" customFormat="false" ht="15" hidden="false" customHeight="false" outlineLevel="0" collapsed="false">
      <c r="B12" s="33" t="s">
        <v>115</v>
      </c>
      <c r="C12" s="37" t="n">
        <v>361216.96</v>
      </c>
    </row>
    <row r="13" customFormat="false" ht="15" hidden="false" customHeight="false" outlineLevel="0" collapsed="false">
      <c r="B13" s="33" t="s">
        <v>116</v>
      </c>
      <c r="C13" s="38" t="n">
        <f aca="false">Financials!K49</f>
        <v>106621.79</v>
      </c>
    </row>
    <row r="14" customFormat="false" ht="15" hidden="false" customHeight="false" outlineLevel="0" collapsed="false">
      <c r="B14" s="33" t="s">
        <v>117</v>
      </c>
      <c r="C14" s="36" t="n">
        <f aca="false">C12/(C12+C13)</f>
        <v>0.772097138169936</v>
      </c>
    </row>
    <row r="15" customFormat="false" ht="15" hidden="false" customHeight="false" outlineLevel="0" collapsed="false">
      <c r="B15" s="33" t="s">
        <v>118</v>
      </c>
      <c r="C15" s="36" t="n">
        <f aca="false">C13/(C12+C13)</f>
        <v>0.227902861830064</v>
      </c>
    </row>
    <row r="16" customFormat="false" ht="15" hidden="false" customHeight="false" outlineLevel="0" collapsed="false">
      <c r="B16" s="39" t="s">
        <v>119</v>
      </c>
      <c r="C16" s="40" t="n">
        <f aca="false">C14*C8+C15*C11</f>
        <v>0.125827292814843</v>
      </c>
    </row>
    <row r="17" customFormat="false" ht="15" hidden="false" customHeight="false" outlineLevel="0" collapsed="false">
      <c r="B17" s="33" t="s">
        <v>120</v>
      </c>
      <c r="C17" s="34" t="n">
        <v>0.05</v>
      </c>
    </row>
    <row r="18" customFormat="false" ht="15" hidden="false" customHeight="false" outlineLevel="0" collapsed="false">
      <c r="B18" s="33" t="s">
        <v>121</v>
      </c>
      <c r="C18" s="3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9" min="3" style="0" width="13"/>
  </cols>
  <sheetData>
    <row r="1" customFormat="false" ht="16.15" hidden="false" customHeight="false" outlineLevel="0" collapsed="false">
      <c r="B1" s="1" t="s">
        <v>122</v>
      </c>
    </row>
    <row r="2" customFormat="false" ht="15" hidden="false" customHeight="false" outlineLevel="0" collapsed="false">
      <c r="B2" s="2" t="s">
        <v>123</v>
      </c>
    </row>
    <row r="4" customFormat="false" ht="15" hidden="false" customHeight="false" outlineLevel="0" collapsed="false">
      <c r="B4" s="2" t="s">
        <v>124</v>
      </c>
      <c r="C4" s="8"/>
    </row>
    <row r="5" customFormat="false" ht="15" hidden="false" customHeight="false" outlineLevel="0" collapsed="false">
      <c r="B5" s="8"/>
      <c r="C5" s="41"/>
    </row>
    <row r="6" customFormat="false" ht="15" hidden="false" customHeight="false" outlineLevel="0" collapsed="false">
      <c r="B6" s="8"/>
      <c r="C6" s="41"/>
    </row>
    <row r="7" customFormat="false" ht="15" hidden="false" customHeight="false" outlineLevel="0" collapsed="false">
      <c r="B7" s="8"/>
      <c r="C7" s="42"/>
    </row>
    <row r="8" customFormat="false" ht="15" hidden="false" customHeight="false" outlineLevel="0" collapsed="false">
      <c r="B8" s="8"/>
      <c r="C8" s="41"/>
    </row>
    <row r="9" customFormat="false" ht="15" hidden="false" customHeight="false" outlineLevel="0" collapsed="false">
      <c r="B9" s="8"/>
      <c r="C9" s="41"/>
    </row>
    <row r="10" customFormat="false" ht="15" hidden="false" customHeight="false" outlineLevel="0" collapsed="false">
      <c r="B10" s="8"/>
      <c r="C10" s="41"/>
    </row>
    <row r="11" customFormat="false" ht="15" hidden="false" customHeight="false" outlineLevel="0" collapsed="false">
      <c r="B11" s="8"/>
      <c r="C11" s="41"/>
    </row>
    <row r="12" customFormat="false" ht="15" hidden="false" customHeight="false" outlineLevel="0" collapsed="false">
      <c r="B12" s="8"/>
      <c r="C12" s="43"/>
    </row>
    <row r="13" customFormat="false" ht="15" hidden="false" customHeight="false" outlineLevel="0" collapsed="false">
      <c r="B13" s="8"/>
      <c r="C13" s="43"/>
    </row>
    <row r="14" customFormat="false" ht="15" hidden="false" customHeight="false" outlineLevel="0" collapsed="false">
      <c r="B14" s="8"/>
      <c r="C14" s="41"/>
    </row>
    <row r="15" customFormat="false" ht="15" hidden="false" customHeight="false" outlineLevel="0" collapsed="false">
      <c r="B15" s="8"/>
      <c r="C15" s="41"/>
    </row>
    <row r="16" customFormat="false" ht="15" hidden="false" customHeight="false" outlineLevel="0" collapsed="false">
      <c r="B16" s="8"/>
      <c r="C16" s="41"/>
    </row>
    <row r="17" customFormat="false" ht="15" hidden="false" customHeight="false" outlineLevel="0" collapsed="false">
      <c r="B17" s="8"/>
      <c r="C17" s="41"/>
    </row>
    <row r="18" customFormat="false" ht="15" hidden="false" customHeight="false" outlineLevel="0" collapsed="false">
      <c r="B18" s="8"/>
      <c r="C18" s="41"/>
    </row>
    <row r="19" customFormat="false" ht="15" hidden="false" customHeight="false" outlineLevel="0" collapsed="false">
      <c r="B19" s="26" t="s">
        <v>125</v>
      </c>
      <c r="C19" s="44" t="s">
        <v>13</v>
      </c>
      <c r="D19" s="44" t="s">
        <v>14</v>
      </c>
      <c r="E19" s="44" t="s">
        <v>15</v>
      </c>
      <c r="F19" s="44" t="s">
        <v>16</v>
      </c>
      <c r="G19" s="44" t="s">
        <v>17</v>
      </c>
    </row>
    <row r="20" customFormat="false" ht="15" hidden="false" customHeight="false" outlineLevel="0" collapsed="false">
      <c r="B20" s="45" t="s">
        <v>18</v>
      </c>
      <c r="C20" s="14" t="n">
        <f aca="false">Financials!L5</f>
        <v>105492.0405</v>
      </c>
      <c r="D20" s="14" t="n">
        <f aca="false">Financials!M5</f>
        <v>111821.56293</v>
      </c>
      <c r="E20" s="14" t="n">
        <f aca="false">Financials!N5</f>
        <v>119649.0723351</v>
      </c>
      <c r="F20" s="14" t="n">
        <f aca="false">Financials!O5</f>
        <v>128024.507398557</v>
      </c>
      <c r="G20" s="14" t="n">
        <f aca="false">Financials!P5</f>
        <v>136986.222916456</v>
      </c>
    </row>
    <row r="21" customFormat="false" ht="15" hidden="false" customHeight="false" outlineLevel="0" collapsed="false">
      <c r="B21" s="45" t="s">
        <v>126</v>
      </c>
      <c r="C21" s="14" t="n">
        <f aca="false">Financials!L15</f>
        <v>14663.3936295</v>
      </c>
      <c r="D21" s="14" t="n">
        <f aca="false">Financials!M15</f>
        <v>15543.19724727</v>
      </c>
      <c r="E21" s="14" t="n">
        <f aca="false">Financials!N15</f>
        <v>16631.2210545789</v>
      </c>
      <c r="F21" s="14" t="n">
        <f aca="false">Financials!O15</f>
        <v>17795.4065283994</v>
      </c>
      <c r="G21" s="14" t="n">
        <f aca="false">Financials!P15</f>
        <v>19041.0849853874</v>
      </c>
    </row>
    <row r="22" customFormat="false" ht="15" hidden="false" customHeight="false" outlineLevel="0" collapsed="false">
      <c r="B22" s="45" t="s">
        <v>127</v>
      </c>
      <c r="C22" s="14" t="n">
        <f aca="false">Financials!L18</f>
        <v>9098.73099</v>
      </c>
      <c r="D22" s="14" t="n">
        <f aca="false">Financials!M18</f>
        <v>10463.399041665</v>
      </c>
      <c r="E22" s="14" t="n">
        <f aca="false">Financials!N18</f>
        <v>11845.266385241</v>
      </c>
      <c r="F22" s="14" t="n">
        <f aca="false">Financials!O18</f>
        <v>13272.5595194252</v>
      </c>
      <c r="G22" s="14" t="n">
        <f aca="false">Financials!P18</f>
        <v>14752.5113385121</v>
      </c>
    </row>
    <row r="23" customFormat="false" ht="15" hidden="false" customHeight="false" outlineLevel="0" collapsed="false">
      <c r="B23" s="45" t="s">
        <v>128</v>
      </c>
      <c r="C23" s="14" t="n">
        <f aca="false">Financials!L19</f>
        <v>5564.6626395</v>
      </c>
      <c r="D23" s="14" t="n">
        <f aca="false">Financials!M19</f>
        <v>5079.798205605</v>
      </c>
      <c r="E23" s="14" t="n">
        <f aca="false">Financials!N19</f>
        <v>4785.95466933793</v>
      </c>
      <c r="F23" s="14" t="n">
        <f aca="false">Financials!O19</f>
        <v>4522.84700897427</v>
      </c>
      <c r="G23" s="14" t="n">
        <f aca="false">Financials!P19</f>
        <v>4288.57364687531</v>
      </c>
    </row>
    <row r="24" customFormat="false" ht="15" hidden="false" customHeight="false" outlineLevel="0" collapsed="false">
      <c r="B24" s="45" t="s">
        <v>129</v>
      </c>
      <c r="C24" s="14" t="n">
        <f aca="false">-C23*Assumptions!L15</f>
        <v>-1574.7995269785</v>
      </c>
      <c r="D24" s="14" t="n">
        <f aca="false">-D23*Assumptions!M15</f>
        <v>-1437.58289218622</v>
      </c>
      <c r="E24" s="14" t="n">
        <f aca="false">-E23*Assumptions!N15</f>
        <v>-1354.42517142263</v>
      </c>
      <c r="F24" s="14" t="n">
        <f aca="false">-F23*Assumptions!O15</f>
        <v>-1279.96570353972</v>
      </c>
      <c r="G24" s="14" t="n">
        <f aca="false">-G23*Assumptions!P15</f>
        <v>-1213.66634206571</v>
      </c>
    </row>
    <row r="25" customFormat="false" ht="15" hidden="false" customHeight="false" outlineLevel="0" collapsed="false">
      <c r="B25" s="46" t="s">
        <v>130</v>
      </c>
      <c r="C25" s="47" t="n">
        <f aca="false">C23+C24</f>
        <v>3989.8631125215</v>
      </c>
      <c r="D25" s="47" t="n">
        <f aca="false">D23+D24</f>
        <v>3642.21531341879</v>
      </c>
      <c r="E25" s="47" t="n">
        <f aca="false">E23+E24</f>
        <v>3431.5294979153</v>
      </c>
      <c r="F25" s="47" t="n">
        <f aca="false">F23+F24</f>
        <v>3242.88130543455</v>
      </c>
      <c r="G25" s="47" t="n">
        <f aca="false">G23+G24</f>
        <v>3074.9073048096</v>
      </c>
    </row>
    <row r="26" customFormat="false" ht="15" hidden="false" customHeight="false" outlineLevel="0" collapsed="false">
      <c r="B26" s="45" t="s">
        <v>63</v>
      </c>
      <c r="C26" s="14" t="n">
        <f aca="false">C22</f>
        <v>9098.73099</v>
      </c>
      <c r="D26" s="14" t="n">
        <f aca="false">D22</f>
        <v>10463.399041665</v>
      </c>
      <c r="E26" s="14" t="n">
        <f aca="false">E22</f>
        <v>11845.266385241</v>
      </c>
      <c r="F26" s="14" t="n">
        <f aca="false">F22</f>
        <v>13272.5595194252</v>
      </c>
      <c r="G26" s="14" t="n">
        <f aca="false">G22</f>
        <v>14752.5113385121</v>
      </c>
    </row>
    <row r="27" customFormat="false" ht="15" hidden="false" customHeight="false" outlineLevel="0" collapsed="false">
      <c r="B27" s="45" t="s">
        <v>131</v>
      </c>
      <c r="C27" s="14" t="n">
        <f aca="false">Financials!L92</f>
        <v>-26373.010125</v>
      </c>
      <c r="D27" s="14" t="n">
        <f aca="false">Financials!M92</f>
        <v>-27955.3907325</v>
      </c>
      <c r="E27" s="14" t="n">
        <f aca="false">Financials!N92</f>
        <v>-29912.268083775</v>
      </c>
      <c r="F27" s="14" t="n">
        <f aca="false">Financials!O92</f>
        <v>-32006.1268496393</v>
      </c>
      <c r="G27" s="14" t="n">
        <f aca="false">Financials!P92</f>
        <v>-34246.555729114</v>
      </c>
    </row>
    <row r="28" customFormat="false" ht="15" hidden="false" customHeight="false" outlineLevel="0" collapsed="false">
      <c r="B28" s="45" t="s">
        <v>132</v>
      </c>
      <c r="C28" s="14" t="n">
        <f aca="false">SUM(Financials!L87:L90)</f>
        <v>15.67224299999</v>
      </c>
      <c r="D28" s="14" t="n">
        <f aca="false">SUM(Financials!M87:M90)</f>
        <v>37.9771345800109</v>
      </c>
      <c r="E28" s="14" t="n">
        <f aca="false">SUM(Financials!N87:N90)</f>
        <v>46.9650564305939</v>
      </c>
      <c r="F28" s="14" t="n">
        <f aca="false">SUM(Financials!O87:O90)</f>
        <v>50.252610380745</v>
      </c>
      <c r="G28" s="14" t="n">
        <f aca="false">SUM(Financials!P87:P90)</f>
        <v>53.7702931073945</v>
      </c>
    </row>
    <row r="29" customFormat="false" ht="15" hidden="false" customHeight="false" outlineLevel="0" collapsed="false">
      <c r="B29" s="46" t="s">
        <v>125</v>
      </c>
      <c r="C29" s="15" t="n">
        <f aca="false">C25+C26+C27+C28</f>
        <v>-13268.7437794785</v>
      </c>
      <c r="D29" s="15" t="n">
        <f aca="false">D25+D26+D27+D28</f>
        <v>-13811.7992428362</v>
      </c>
      <c r="E29" s="15" t="n">
        <f aca="false">E25+E26+E27+E28</f>
        <v>-14588.5071441881</v>
      </c>
      <c r="F29" s="15" t="n">
        <f aca="false">F25+F26+F27+F28</f>
        <v>-15440.4334143988</v>
      </c>
      <c r="G29" s="15" t="n">
        <f aca="false">G25+G26+G27+G28</f>
        <v>-16365.3667926849</v>
      </c>
    </row>
    <row r="30" customFormat="false" ht="15" hidden="false" customHeight="false" outlineLevel="0" collapsed="false">
      <c r="B30" s="45" t="s">
        <v>133</v>
      </c>
      <c r="C30" s="48" t="n">
        <v>1</v>
      </c>
      <c r="D30" s="48" t="n">
        <v>2</v>
      </c>
      <c r="E30" s="48" t="n">
        <v>3</v>
      </c>
      <c r="F30" s="48" t="n">
        <v>4</v>
      </c>
      <c r="G30" s="48" t="n">
        <v>5</v>
      </c>
    </row>
    <row r="31" customFormat="false" ht="15" hidden="false" customHeight="false" outlineLevel="0" collapsed="false">
      <c r="B31" s="45" t="s">
        <v>134</v>
      </c>
      <c r="C31" s="49" t="n">
        <f aca="false">1/(1+WACC!$C$16)^C30</f>
        <v>0.888235705762432</v>
      </c>
      <c r="D31" s="49" t="n">
        <f aca="false">1/(1+WACC!$C$16)^D30</f>
        <v>0.788962668991286</v>
      </c>
      <c r="E31" s="49" t="n">
        <f aca="false">1/(1+WACC!$C$16)^E30</f>
        <v>0.700784813111687</v>
      </c>
      <c r="F31" s="49" t="n">
        <f aca="false">1/(1+WACC!$C$16)^F30</f>
        <v>0.622462093061853</v>
      </c>
      <c r="G31" s="49" t="n">
        <f aca="false">1/(1+WACC!$C$16)^G30</f>
        <v>0.552893056541156</v>
      </c>
    </row>
    <row r="32" customFormat="false" ht="15" hidden="false" customHeight="false" outlineLevel="0" collapsed="false">
      <c r="B32" s="46" t="s">
        <v>135</v>
      </c>
      <c r="C32" s="14" t="n">
        <f aca="false">C29*C31</f>
        <v>-11785.771995546</v>
      </c>
      <c r="D32" s="14" t="n">
        <f aca="false">D29*D31</f>
        <v>-10896.9939941999</v>
      </c>
      <c r="E32" s="14" t="n">
        <f aca="false">E29*E31</f>
        <v>-10223.4042526184</v>
      </c>
      <c r="F32" s="14" t="n">
        <f aca="false">F29*F31</f>
        <v>-9611.08450090885</v>
      </c>
      <c r="G32" s="14" t="n">
        <f aca="false">G29*G31</f>
        <v>-9048.29766742471</v>
      </c>
    </row>
    <row r="35" customFormat="false" ht="15" hidden="false" customHeight="false" outlineLevel="0" collapsed="false">
      <c r="B35" s="26" t="s">
        <v>136</v>
      </c>
      <c r="C35" s="50"/>
    </row>
    <row r="36" customFormat="false" ht="15" hidden="false" customHeight="false" outlineLevel="0" collapsed="false">
      <c r="B36" s="45" t="s">
        <v>137</v>
      </c>
      <c r="C36" s="14" t="n">
        <f aca="false">SUM(C32:G32)</f>
        <v>-51565.5524106978</v>
      </c>
    </row>
    <row r="37" customFormat="false" ht="15" hidden="false" customHeight="false" outlineLevel="0" collapsed="false">
      <c r="B37" s="45" t="s">
        <v>138</v>
      </c>
      <c r="C37" s="14" t="n">
        <f aca="false">G25*(1+WACC!C17)*(1-WACC!C17/WACC!C18)/(WACC!C16-WACC!C17)</f>
        <v>21289.5156229163</v>
      </c>
    </row>
    <row r="38" customFormat="false" ht="15" hidden="false" customHeight="false" outlineLevel="0" collapsed="false">
      <c r="B38" s="45" t="s">
        <v>139</v>
      </c>
      <c r="C38" s="14" t="n">
        <f aca="false">C37*G31</f>
        <v>11770.8253650348</v>
      </c>
    </row>
    <row r="39" customFormat="false" ht="15" hidden="false" customHeight="false" outlineLevel="0" collapsed="false">
      <c r="B39" s="46" t="s">
        <v>140</v>
      </c>
      <c r="C39" s="23" t="n">
        <f aca="false">C36+C38</f>
        <v>-39794.727045663</v>
      </c>
    </row>
    <row r="40" customFormat="false" ht="15" hidden="false" customHeight="false" outlineLevel="0" collapsed="false">
      <c r="B40" s="45" t="s">
        <v>141</v>
      </c>
      <c r="C40" s="14" t="n">
        <f aca="false">-Financials!K49</f>
        <v>-106621.79</v>
      </c>
    </row>
    <row r="41" customFormat="false" ht="15" hidden="false" customHeight="false" outlineLevel="0" collapsed="false">
      <c r="B41" s="45" t="s">
        <v>142</v>
      </c>
      <c r="C41" s="14" t="n">
        <f aca="false">Financials!K58</f>
        <v>11809.42</v>
      </c>
    </row>
    <row r="42" customFormat="false" ht="15" hidden="false" customHeight="false" outlineLevel="0" collapsed="false">
      <c r="B42" s="46" t="s">
        <v>143</v>
      </c>
      <c r="C42" s="23" t="n">
        <f aca="false">C39+C40+C41</f>
        <v>-134607.097045663</v>
      </c>
    </row>
    <row r="43" customFormat="false" ht="15" hidden="false" customHeight="false" outlineLevel="0" collapsed="false">
      <c r="B43" s="45" t="s">
        <v>144</v>
      </c>
      <c r="C43" s="51" t="n">
        <f aca="false">Financials!K28</f>
        <v>129.16</v>
      </c>
    </row>
    <row r="44" customFormat="false" ht="15" hidden="false" customHeight="false" outlineLevel="0" collapsed="false">
      <c r="B44" s="46" t="s">
        <v>145</v>
      </c>
      <c r="C44" s="52" t="n">
        <f aca="false">C42/C43</f>
        <v>-1042.17325058581</v>
      </c>
    </row>
    <row r="45" customFormat="false" ht="15" hidden="false" customHeight="false" outlineLevel="0" collapsed="false">
      <c r="B45" s="45" t="s">
        <v>146</v>
      </c>
      <c r="C45" s="53" t="n">
        <v>2668.9</v>
      </c>
    </row>
    <row r="46" customFormat="false" ht="15" hidden="false" customHeight="false" outlineLevel="0" collapsed="false">
      <c r="B46" s="46" t="s">
        <v>147</v>
      </c>
      <c r="C46" s="54" t="n">
        <f aca="false">C44/C45-1</f>
        <v>-1.39048793532384</v>
      </c>
    </row>
    <row r="48" customFormat="false" ht="15" hidden="false" customHeight="false" outlineLevel="0" collapsed="false">
      <c r="B48" s="45" t="s">
        <v>148</v>
      </c>
      <c r="C48" s="9" t="n">
        <f aca="false">C38/C39</f>
        <v>-0.295788568961116</v>
      </c>
    </row>
    <row r="49" customFormat="false" ht="15" hidden="false" customHeight="false" outlineLevel="0" collapsed="false">
      <c r="B49" s="45" t="s">
        <v>149</v>
      </c>
      <c r="C49" s="55" t="n">
        <f aca="false">C37/G21</f>
        <v>1.11808311549759</v>
      </c>
    </row>
    <row r="50" customFormat="false" ht="15" hidden="false" customHeight="false" outlineLevel="0" collapsed="false">
      <c r="B50" s="2" t="s">
        <v>150</v>
      </c>
    </row>
    <row r="53" customFormat="false" ht="15" hidden="false" customHeight="false" outlineLevel="0" collapsed="false">
      <c r="B53" s="5" t="s">
        <v>151</v>
      </c>
    </row>
    <row r="54" customFormat="false" ht="15" hidden="false" customHeight="false" outlineLevel="0" collapsed="false">
      <c r="C54" s="56" t="n">
        <f aca="false">WACC!$C$17+(-0.01)</f>
        <v>0.04</v>
      </c>
      <c r="D54" s="56" t="n">
        <f aca="false">WACC!$C$17+(-0.005)</f>
        <v>0.045</v>
      </c>
      <c r="E54" s="56" t="n">
        <f aca="false">WACC!$C$17+(0)</f>
        <v>0.05</v>
      </c>
      <c r="F54" s="56" t="n">
        <f aca="false">WACC!$C$17+(0.005)</f>
        <v>0.055</v>
      </c>
      <c r="G54" s="56" t="n">
        <f aca="false">WACC!$C$17+(0.01)</f>
        <v>0.06</v>
      </c>
    </row>
    <row r="55" customFormat="false" ht="15" hidden="false" customHeight="false" outlineLevel="0" collapsed="false">
      <c r="B55" s="57" t="n">
        <f aca="false">WACC!$C$16+(-0.01)</f>
        <v>0.115827292814843</v>
      </c>
      <c r="C55" s="51" t="n">
        <f aca="false">(SUMPRODUCT($C$29:$G$29,1/(1+$B55)^$C$30:$G$30)+$G$25*(1+C$54)*(1-C$54/WACC!$C$18)/($B55-C$54)/(1+$B55)^$G$30+$C$40+$C$41)/$C$43</f>
        <v>-1030.43001330508</v>
      </c>
      <c r="D55" s="51" t="n">
        <f aca="false">(SUMPRODUCT($C$29:$G$29,1/(1+$B55)^$C$30:$G$30)+$G$25*(1+D$54)*(1-D$54/WACC!$C$18)/($B55-D$54)/(1+$B55)^$G$30+$C$40+$C$41)/$C$43</f>
        <v>-1032.00475985842</v>
      </c>
      <c r="E55" s="51" t="n">
        <f aca="false">(SUMPRODUCT($C$29:$G$29,1/(1+$B55)^$C$30:$G$30)+$G$25*(1+E$54)*(1-E$54/WACC!$C$18)/($B55-E$54)/(1+$B55)^$G$30+$C$40+$C$41)/$C$43</f>
        <v>-1033.92327051565</v>
      </c>
      <c r="F55" s="51" t="n">
        <f aca="false">(SUMPRODUCT($C$29:$G$29,1/(1+$B55)^$C$30:$G$30)+$G$25*(1+F$54)*(1-F$54/WACC!$C$18)/($B55-F$54)/(1+$B55)^$G$30+$C$40+$C$41)/$C$43</f>
        <v>-1036.27031744597</v>
      </c>
      <c r="G55" s="51" t="n">
        <f aca="false">(SUMPRODUCT($C$29:$G$29,1/(1+$B55)^$C$30:$G$30)+$G$25*(1+G$54)*(1-G$54/WACC!$C$18)/($B55-G$54)/(1+$B55)^$G$30+$C$40+$C$41)/$C$43</f>
        <v>-1039.16104225436</v>
      </c>
    </row>
    <row r="56" customFormat="false" ht="15" hidden="false" customHeight="false" outlineLevel="0" collapsed="false">
      <c r="B56" s="57" t="n">
        <f aca="false">WACC!$C$16+(-0.005)</f>
        <v>0.120827292814843</v>
      </c>
      <c r="C56" s="51" t="n">
        <f aca="false">(SUMPRODUCT($C$29:$G$29,1/(1+$B56)^$C$30:$G$30)+$G$25*(1+C$54)*(1-C$54/WACC!$C$18)/($B56-C$54)/(1+$B56)^$G$30+$C$40+$C$41)/$C$43</f>
        <v>-1034.54058292328</v>
      </c>
      <c r="D56" s="51" t="n">
        <f aca="false">(SUMPRODUCT($C$29:$G$29,1/(1+$B56)^$C$30:$G$30)+$G$25*(1+D$54)*(1-D$54/WACC!$C$18)/($B56-D$54)/(1+$B56)^$G$30+$C$40+$C$41)/$C$43</f>
        <v>-1036.4307535479</v>
      </c>
      <c r="E56" s="51" t="n">
        <f aca="false">(SUMPRODUCT($C$29:$G$29,1/(1+$B56)^$C$30:$G$30)+$G$25*(1+E$54)*(1-E$54/WACC!$C$18)/($B56-E$54)/(1+$B56)^$G$30+$C$40+$C$41)/$C$43</f>
        <v>-1038.68280685566</v>
      </c>
      <c r="F56" s="51" t="n">
        <f aca="false">(SUMPRODUCT($C$29:$G$29,1/(1+$B56)^$C$30:$G$30)+$G$25*(1+F$54)*(1-F$54/WACC!$C$18)/($B56-F$54)/(1+$B56)^$G$30+$C$40+$C$41)/$C$43</f>
        <v>-1041.37920469505</v>
      </c>
      <c r="G56" s="51" t="n">
        <f aca="false">(SUMPRODUCT($C$29:$G$29,1/(1+$B56)^$C$30:$G$30)+$G$25*(1+G$54)*(1-G$54/WACC!$C$18)/($B56-G$54)/(1+$B56)^$G$30+$C$40+$C$41)/$C$43</f>
        <v>-1044.62952235154</v>
      </c>
    </row>
    <row r="57" customFormat="false" ht="15" hidden="false" customHeight="false" outlineLevel="0" collapsed="false">
      <c r="B57" s="57" t="n">
        <f aca="false">WACC!$C$16+(0)</f>
        <v>0.125827292814843</v>
      </c>
      <c r="C57" s="51" t="n">
        <f aca="false">(SUMPRODUCT($C$29:$G$29,1/(1+$B57)^$C$30:$G$30)+$G$25*(1+C$54)*(1-C$54/WACC!$C$18)/($B57-C$54)/(1+$B57)^$G$30+$C$40+$C$41)/$C$43</f>
        <v>-1037.60860711602</v>
      </c>
      <c r="D57" s="51" t="n">
        <f aca="false">(SUMPRODUCT($C$29:$G$29,1/(1+$B57)^$C$30:$G$30)+$G$25*(1+D$54)*(1-D$54/WACC!$C$18)/($B57-D$54)/(1+$B57)^$G$30+$C$40+$C$41)/$C$43</f>
        <v>-1039.70903132276</v>
      </c>
      <c r="E57" s="58" t="n">
        <f aca="false">(SUMPRODUCT($C$29:$G$29,1/(1+$B57)^$C$30:$G$30)+$G$25*(1+E$54)*(1-E$54/WACC!$C$18)/($B57-E$54)/(1+$B57)^$G$30+$C$40+$C$41)/$C$43</f>
        <v>-1042.17325058581</v>
      </c>
      <c r="F57" s="51" t="n">
        <f aca="false">(SUMPRODUCT($C$29:$G$29,1/(1+$B57)^$C$30:$G$30)+$G$25*(1+F$54)*(1-F$54/WACC!$C$18)/($B57-F$54)/(1+$B57)^$G$30+$C$40+$C$41)/$C$43</f>
        <v>-1045.07831042856</v>
      </c>
      <c r="G57" s="51" t="n">
        <f aca="false">(SUMPRODUCT($C$29:$G$29,1/(1+$B57)^$C$30:$G$30)+$G$25*(1+G$54)*(1-G$54/WACC!$C$18)/($B57-G$54)/(1+$B57)^$G$30+$C$40+$C$41)/$C$43</f>
        <v>-1048.52466475717</v>
      </c>
    </row>
    <row r="58" customFormat="false" ht="15" hidden="false" customHeight="false" outlineLevel="0" collapsed="false">
      <c r="B58" s="57" t="n">
        <f aca="false">WACC!$C$16+(0.005)</f>
        <v>0.130827292814843</v>
      </c>
      <c r="C58" s="51" t="n">
        <f aca="false">(SUMPRODUCT($C$29:$G$29,1/(1+$B58)^$C$30:$G$30)+$G$25*(1+C$54)*(1-C$54/WACC!$C$18)/($B58-C$54)/(1+$B58)^$G$30+$C$40+$C$41)/$C$43</f>
        <v>-1039.82268587982</v>
      </c>
      <c r="D58" s="51" t="n">
        <f aca="false">(SUMPRODUCT($C$29:$G$29,1/(1+$B58)^$C$30:$G$30)+$G$25*(1+D$54)*(1-D$54/WACC!$C$18)/($B58-D$54)/(1+$B58)^$G$30+$C$40+$C$41)/$C$43</f>
        <v>-1042.05758005811</v>
      </c>
      <c r="E58" s="51" t="n">
        <f aca="false">(SUMPRODUCT($C$29:$G$29,1/(1+$B58)^$C$30:$G$30)+$G$25*(1+E$54)*(1-E$54/WACC!$C$18)/($B58-E$54)/(1+$B58)^$G$30+$C$40+$C$41)/$C$43</f>
        <v>-1044.64861725862</v>
      </c>
      <c r="F58" s="51" t="n">
        <f aca="false">(SUMPRODUCT($C$29:$G$29,1/(1+$B58)^$C$30:$G$30)+$G$25*(1+F$54)*(1-F$54/WACC!$C$18)/($B58-F$54)/(1+$B58)^$G$30+$C$40+$C$41)/$C$43</f>
        <v>-1047.66624896569</v>
      </c>
      <c r="G58" s="51" t="n">
        <f aca="false">(SUMPRODUCT($C$29:$G$29,1/(1+$B58)^$C$30:$G$30)+$G$25*(1+G$54)*(1-G$54/WACC!$C$18)/($B58-G$54)/(1+$B58)^$G$30+$C$40+$C$41)/$C$43</f>
        <v>-1051.200820544</v>
      </c>
    </row>
    <row r="59" customFormat="false" ht="15" hidden="false" customHeight="false" outlineLevel="0" collapsed="false">
      <c r="B59" s="57" t="n">
        <f aca="false">WACC!$C$16+(0.01)</f>
        <v>0.135827292814843</v>
      </c>
      <c r="C59" s="51" t="n">
        <f aca="false">(SUMPRODUCT($C$29:$G$29,1/(1+$B59)^$C$30:$G$30)+$G$25*(1+C$54)*(1-C$54/WACC!$C$18)/($B59-C$54)/(1+$B59)^$G$30+$C$40+$C$41)/$C$43</f>
        <v>-1041.33151148497</v>
      </c>
      <c r="D59" s="51" t="n">
        <f aca="false">(SUMPRODUCT($C$29:$G$29,1/(1+$B59)^$C$30:$G$30)+$G$25*(1+D$54)*(1-D$54/WACC!$C$18)/($B59-D$54)/(1+$B59)^$G$30+$C$40+$C$41)/$C$43</f>
        <v>-1043.64581099732</v>
      </c>
      <c r="E59" s="51" t="n">
        <f aca="false">(SUMPRODUCT($C$29:$G$29,1/(1+$B59)^$C$30:$G$30)+$G$25*(1+E$54)*(1-E$54/WACC!$C$18)/($B59-E$54)/(1+$B59)^$G$30+$C$40+$C$41)/$C$43</f>
        <v>-1046.30312130274</v>
      </c>
      <c r="F59" s="51" t="n">
        <f aca="false">(SUMPRODUCT($C$29:$G$29,1/(1+$B59)^$C$30:$G$30)+$G$25*(1+F$54)*(1-F$54/WACC!$C$18)/($B59-F$54)/(1+$B59)^$G$30+$C$40+$C$41)/$C$43</f>
        <v>-1049.36709864551</v>
      </c>
      <c r="G59" s="51" t="n">
        <f aca="false">(SUMPRODUCT($C$29:$G$29,1/(1+$B59)^$C$30:$G$30)+$G$25*(1+G$54)*(1-G$54/WACC!$C$18)/($B59-G$54)/(1+$B59)^$G$30+$C$40+$C$41)/$C$43</f>
        <v>-1052.91818906735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2026-10-13T06:24:46Z</dcterms:created>
  <dc:creator>openpyxl</dc:creator>
  <dc:description/>
  <dc:language>en-US</dc:language>
  <cp:lastModifiedBy/>
  <dcterms:modified xsi:type="dcterms:W3CDTF">2026-10-13T06:24:46Z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